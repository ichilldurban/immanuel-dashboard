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etricedge-my.sharepoint.com/personal/stef_metricedge_co_za/Documents/001 - Metric Edge/Metric Projects/ME 408 - 9721 Immanuel church/"/>
    </mc:Choice>
  </mc:AlternateContent>
  <xr:revisionPtr revIDLastSave="46" documentId="8_{2FDB2A49-226D-4BBF-A814-B1C2010EBBF2}" xr6:coauthVersionLast="47" xr6:coauthVersionMax="47" xr10:uidLastSave="{6CCE1CC8-4EEB-4384-939E-83C3FF80324A}"/>
  <bookViews>
    <workbookView xWindow="28680" yWindow="-75" windowWidth="29040" windowHeight="15720" xr2:uid="{B7796895-499B-484D-88FF-0B0DB6F34C13}"/>
  </bookViews>
  <sheets>
    <sheet name="ME-408" sheetId="1" r:id="rId1"/>
  </sheets>
  <definedNames>
    <definedName name="_xlnm.Print_Area" localSheetId="0">'ME-408'!$A$1:$H$741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1" i="1" l="1"/>
  <c r="G565" i="1"/>
  <c r="I565" i="1"/>
  <c r="G18" i="1"/>
  <c r="G16" i="1"/>
  <c r="H16" i="1" s="1"/>
  <c r="H73" i="1"/>
  <c r="G381" i="1"/>
  <c r="G573" i="1"/>
  <c r="G548" i="1"/>
  <c r="G553" i="1"/>
  <c r="G544" i="1"/>
  <c r="H544" i="1" s="1"/>
  <c r="G542" i="1"/>
  <c r="G557" i="1"/>
  <c r="G444" i="1"/>
  <c r="H444" i="1" s="1"/>
  <c r="G431" i="1"/>
  <c r="H431" i="1" s="1"/>
  <c r="F698" i="1"/>
  <c r="F696" i="1"/>
  <c r="F694" i="1"/>
  <c r="G683" i="1"/>
  <c r="F407" i="1"/>
  <c r="H407" i="1" s="1"/>
  <c r="F429" i="1"/>
  <c r="F421" i="1"/>
  <c r="H421" i="1" s="1"/>
  <c r="F405" i="1"/>
  <c r="F409" i="1" s="1"/>
  <c r="F513" i="1" s="1"/>
  <c r="F396" i="1"/>
  <c r="F398" i="1" s="1"/>
  <c r="H398" i="1" s="1"/>
  <c r="H359" i="1"/>
  <c r="G371" i="1"/>
  <c r="F357" i="1"/>
  <c r="F351" i="1"/>
  <c r="F531" i="1" s="1"/>
  <c r="H531" i="1" s="1"/>
  <c r="F345" i="1"/>
  <c r="F363" i="1" s="1"/>
  <c r="F263" i="1"/>
  <c r="F222" i="1"/>
  <c r="F196" i="1"/>
  <c r="H196" i="1" s="1"/>
  <c r="F168" i="1"/>
  <c r="H168" i="1" s="1"/>
  <c r="H253" i="1"/>
  <c r="F257" i="1"/>
  <c r="F251" i="1"/>
  <c r="F249" i="1"/>
  <c r="G63" i="1"/>
  <c r="F63" i="1"/>
  <c r="F59" i="1"/>
  <c r="F37" i="1"/>
  <c r="G323" i="1"/>
  <c r="G319" i="1"/>
  <c r="H319" i="1" s="1"/>
  <c r="G317" i="1"/>
  <c r="G313" i="1"/>
  <c r="H313" i="1" s="1"/>
  <c r="G478" i="1"/>
  <c r="H478" i="1" s="1"/>
  <c r="H476" i="1"/>
  <c r="G460" i="1"/>
  <c r="G309" i="1"/>
  <c r="H309" i="1" s="1"/>
  <c r="G307" i="1"/>
  <c r="H307" i="1" s="1"/>
  <c r="G305" i="1"/>
  <c r="H305" i="1" s="1"/>
  <c r="G303" i="1"/>
  <c r="H303" i="1" s="1"/>
  <c r="G301" i="1"/>
  <c r="H301" i="1" s="1"/>
  <c r="G299" i="1"/>
  <c r="H65" i="1"/>
  <c r="G594" i="1"/>
  <c r="H24" i="1"/>
  <c r="H22" i="1"/>
  <c r="H620" i="1"/>
  <c r="H472" i="1"/>
  <c r="H468" i="1"/>
  <c r="H712" i="1"/>
  <c r="H505" i="1"/>
  <c r="H616" i="1"/>
  <c r="H413" i="1"/>
  <c r="H61" i="1"/>
  <c r="H63" i="1" l="1"/>
  <c r="F259" i="1"/>
  <c r="H259" i="1" s="1"/>
  <c r="F497" i="1"/>
  <c r="H497" i="1" s="1"/>
  <c r="F511" i="1"/>
  <c r="H511" i="1" s="1"/>
  <c r="F529" i="1"/>
  <c r="H529" i="1" s="1"/>
  <c r="F495" i="1"/>
  <c r="H495" i="1" s="1"/>
  <c r="F267" i="1"/>
  <c r="H267" i="1" s="1"/>
  <c r="H18" i="1"/>
  <c r="H27" i="1" s="1"/>
  <c r="H612" i="1"/>
  <c r="H251" i="1"/>
  <c r="H573" i="1"/>
  <c r="H569" i="1"/>
  <c r="H43" i="1"/>
  <c r="H41" i="1"/>
  <c r="H37" i="1"/>
  <c r="H35" i="1"/>
  <c r="H722" i="1"/>
  <c r="H718" i="1"/>
  <c r="H708" i="1"/>
  <c r="H706" i="1"/>
  <c r="H702" i="1"/>
  <c r="H698" i="1"/>
  <c r="H696" i="1"/>
  <c r="H694" i="1"/>
  <c r="H683" i="1"/>
  <c r="H679" i="1"/>
  <c r="H675" i="1"/>
  <c r="H671" i="1"/>
  <c r="H667" i="1"/>
  <c r="H663" i="1"/>
  <c r="H607" i="1"/>
  <c r="H603" i="1"/>
  <c r="H565" i="1"/>
  <c r="H561" i="1"/>
  <c r="H557" i="1"/>
  <c r="H553" i="1"/>
  <c r="H598" i="1"/>
  <c r="H594" i="1"/>
  <c r="H548" i="1"/>
  <c r="H589" i="1"/>
  <c r="H585" i="1"/>
  <c r="H542" i="1"/>
  <c r="H533" i="1"/>
  <c r="H523" i="1"/>
  <c r="H521" i="1"/>
  <c r="H519" i="1"/>
  <c r="H513" i="1"/>
  <c r="H507" i="1"/>
  <c r="H503" i="1"/>
  <c r="H464" i="1"/>
  <c r="H460" i="1"/>
  <c r="H446" i="1"/>
  <c r="H429" i="1"/>
  <c r="H423" i="1"/>
  <c r="H419" i="1"/>
  <c r="H409" i="1"/>
  <c r="H405" i="1"/>
  <c r="H396" i="1"/>
  <c r="H381" i="1"/>
  <c r="H371" i="1"/>
  <c r="H363" i="1"/>
  <c r="H357" i="1"/>
  <c r="H351" i="1"/>
  <c r="H345" i="1"/>
  <c r="H339" i="1"/>
  <c r="H337" i="1"/>
  <c r="H323" i="1"/>
  <c r="H317" i="1"/>
  <c r="H299" i="1"/>
  <c r="H284" i="1"/>
  <c r="H280" i="1"/>
  <c r="H263" i="1"/>
  <c r="H257" i="1"/>
  <c r="H249" i="1"/>
  <c r="H247" i="1"/>
  <c r="H245" i="1"/>
  <c r="H239" i="1"/>
  <c r="H226" i="1"/>
  <c r="H222" i="1"/>
  <c r="H216" i="1"/>
  <c r="H212" i="1"/>
  <c r="H206" i="1"/>
  <c r="H202" i="1"/>
  <c r="H198" i="1"/>
  <c r="H194" i="1"/>
  <c r="H192" i="1"/>
  <c r="H186" i="1"/>
  <c r="H182" i="1"/>
  <c r="H178" i="1"/>
  <c r="H172" i="1"/>
  <c r="H170" i="1"/>
  <c r="H166" i="1"/>
  <c r="H160" i="1"/>
  <c r="H158" i="1"/>
  <c r="H152" i="1"/>
  <c r="H139" i="1"/>
  <c r="H133" i="1"/>
  <c r="H127" i="1"/>
  <c r="H121" i="1"/>
  <c r="H119" i="1"/>
  <c r="H115" i="1"/>
  <c r="H111" i="1"/>
  <c r="H105" i="1"/>
  <c r="H99" i="1"/>
  <c r="H95" i="1"/>
  <c r="H91" i="1"/>
  <c r="H89" i="1"/>
  <c r="H69" i="1"/>
  <c r="H59" i="1"/>
  <c r="H55" i="1"/>
  <c r="H51" i="1"/>
  <c r="H49" i="1"/>
  <c r="H47" i="1"/>
  <c r="H534" i="1" l="1"/>
  <c r="H646" i="1" s="1"/>
  <c r="H576" i="1"/>
  <c r="H648" i="1" s="1"/>
  <c r="H325" i="1"/>
  <c r="H634" i="1" s="1"/>
  <c r="H268" i="1"/>
  <c r="H630" i="1" s="1"/>
  <c r="H483" i="1"/>
  <c r="H644" i="1" s="1"/>
  <c r="H140" i="1"/>
  <c r="H626" i="1" s="1"/>
  <c r="H287" i="1"/>
  <c r="H632" i="1" s="1"/>
  <c r="H723" i="1"/>
  <c r="H727" i="1" s="1"/>
  <c r="H77" i="1"/>
  <c r="H624" i="1" s="1"/>
  <c r="H432" i="1"/>
  <c r="H640" i="1" s="1"/>
  <c r="H373" i="1"/>
  <c r="H636" i="1" s="1"/>
  <c r="H684" i="1"/>
  <c r="H725" i="1" s="1"/>
  <c r="H382" i="1"/>
  <c r="H638" i="1" s="1"/>
  <c r="H622" i="1"/>
  <c r="H642" i="1"/>
  <c r="H227" i="1"/>
  <c r="H628" i="1" s="1"/>
  <c r="H730" i="1"/>
  <c r="H650" i="1" l="1"/>
  <c r="H651" i="1" s="1"/>
  <c r="H732" i="1" s="1"/>
  <c r="H728" i="1"/>
  <c r="H734" i="1" s="1"/>
  <c r="H735" i="1" l="1"/>
  <c r="H736" i="1" s="1"/>
  <c r="H737" i="1" s="1"/>
  <c r="H738" i="1" l="1"/>
  <c r="H739" i="1" s="1"/>
</calcChain>
</file>

<file path=xl/sharedStrings.xml><?xml version="1.0" encoding="utf-8"?>
<sst xmlns="http://schemas.openxmlformats.org/spreadsheetml/2006/main" count="523" uniqueCount="347">
  <si>
    <t>ITEM NO</t>
  </si>
  <si>
    <t>QUANTITY</t>
  </si>
  <si>
    <t>RATE</t>
  </si>
  <si>
    <t>AMOUNT</t>
  </si>
  <si>
    <t>BILL NO. 01</t>
  </si>
  <si>
    <t>PRELIMINARIES</t>
  </si>
  <si>
    <t>Item</t>
  </si>
  <si>
    <t>BILL NO. 1</t>
  </si>
  <si>
    <t>ALTERATIONS</t>
  </si>
  <si>
    <t>Breaking up and removing</t>
  </si>
  <si>
    <t>Break/demolish existing columns/piers and cart away</t>
  </si>
  <si>
    <t>No</t>
  </si>
  <si>
    <t>Demolishing and carting away</t>
  </si>
  <si>
    <t>Planter wall</t>
  </si>
  <si>
    <t>m</t>
  </si>
  <si>
    <t>Demolish existing Staircase</t>
  </si>
  <si>
    <t>Taking down and removing</t>
  </si>
  <si>
    <t>Demolish existing walls and cartaway</t>
  </si>
  <si>
    <t>Remove and reposition existing single timber door</t>
  </si>
  <si>
    <t>Existing rwdp catch pit repositioned</t>
  </si>
  <si>
    <t>Bricking up and making good</t>
  </si>
  <si>
    <t>Brickup openings</t>
  </si>
  <si>
    <t>Make good existing walls</t>
  </si>
  <si>
    <t>Expose existing foundations</t>
  </si>
  <si>
    <t>BILL NO. 2</t>
  </si>
  <si>
    <t>EARTHWORKS, ETC.</t>
  </si>
  <si>
    <t>For preambles see "Model Preambles for Trades 2017"</t>
  </si>
  <si>
    <t>EXCAVATION</t>
  </si>
  <si>
    <t>Excavation in earth not exceeding 2m deep</t>
  </si>
  <si>
    <t>Excavate for ground beams and pads</t>
  </si>
  <si>
    <t>Reduce levels under surface beds</t>
  </si>
  <si>
    <t>Excavate back from the vertical face of excavations to the extent required for the insertion and removal of formwork and afterwards return, fill in and ram.</t>
  </si>
  <si>
    <t>Excavate back from the face of ground beam excavations exceeding 500 mm and not exceeding 1,5 m deep and 300 mm between the structure and the sides to be excavated back.</t>
  </si>
  <si>
    <t>Risk of collapse of excavations other than bulk:</t>
  </si>
  <si>
    <t>Sides of trench and hole excavations not exceeding 1,5m deep</t>
  </si>
  <si>
    <t>CARTING AWAY.</t>
  </si>
  <si>
    <t>Extra over all excavations for loading, carting and dumping surplus excavated material (no allowance made for increase in bulk):</t>
  </si>
  <si>
    <t>Off site to a dumping site to be found by the Contractor</t>
  </si>
  <si>
    <t>EARTH FILLING, ETC.</t>
  </si>
  <si>
    <t>Compaction of in situ surfaces:</t>
  </si>
  <si>
    <t>Rip and recompact ground surface, including scarifying for a depth of 150mm, breaking down oversize material, adding suitable material where necessary and compacting to 90% modified AASHTO density and trim to required levels.</t>
  </si>
  <si>
    <t>Filling with material from the excavations compacted to a density of at least 95% Mod. AASHTO maximum density:</t>
  </si>
  <si>
    <t>Backfilling to trenches, holes, etc.</t>
  </si>
  <si>
    <t>Filling with approved material G5 quality supplied and carted onto site by Contractor, compacted to a density of at least 98% Mod. AASHTO maximum density:</t>
  </si>
  <si>
    <t>Under surface beds</t>
  </si>
  <si>
    <t>Under ground beams/footings and pads</t>
  </si>
  <si>
    <t>KEEPING EXCAVATIONS FREE OF WATER</t>
  </si>
  <si>
    <t>Keeping excavations free of water</t>
  </si>
  <si>
    <t>Allow for keeping excavations free of water by hand or machinery.</t>
  </si>
  <si>
    <t>TESTS</t>
  </si>
  <si>
    <t>Prescribed density tests on filling:</t>
  </si>
  <si>
    <t>Modified AASHTO Density test</t>
  </si>
  <si>
    <t>SOIL POISONING</t>
  </si>
  <si>
    <t>Soil insecticide:</t>
  </si>
  <si>
    <t>Under floors and foundations etc. including forming and poisoning shallow furrows against foundation walls etc, filling in furrows and ramming</t>
  </si>
  <si>
    <t>BILL NO . 3</t>
  </si>
  <si>
    <t>CONCRETE, FORMWORK AND REINFORCEMENT</t>
  </si>
  <si>
    <t>UNREINFORCED CONCRETE</t>
  </si>
  <si>
    <t>15MPa/19mm concrete</t>
  </si>
  <si>
    <t>Surface blinding</t>
  </si>
  <si>
    <t>REINFORCED CONCRETE CAST AGAINST EXCAVATED SURFACES</t>
  </si>
  <si>
    <t>25Mpa/19mm concrete</t>
  </si>
  <si>
    <t>Ground beams</t>
  </si>
  <si>
    <t>Concrete pads</t>
  </si>
  <si>
    <t>REINFORCED CONCRETE</t>
  </si>
  <si>
    <t>30Mpa/19mm concrete</t>
  </si>
  <si>
    <t>Surface beds</t>
  </si>
  <si>
    <t>Beams</t>
  </si>
  <si>
    <t>Slabs and inverted beams</t>
  </si>
  <si>
    <t>CONCRETE SUNDRIES</t>
  </si>
  <si>
    <t>Test Cubes</t>
  </si>
  <si>
    <t>Making and testing set of three 150 x150 x 150mm concrete strength test cubes</t>
  </si>
  <si>
    <t>Finishing top surfaces of concrete smooth with a steel float</t>
  </si>
  <si>
    <t>to top of slabs</t>
  </si>
  <si>
    <t>Finishing top surfaces of concrete smooth with a wood float</t>
  </si>
  <si>
    <t>Surface beds, stair landings and treads etc</t>
  </si>
  <si>
    <t>Rough formwork to sides</t>
  </si>
  <si>
    <t>Pads</t>
  </si>
  <si>
    <t>Rough formwork to sides and soffits</t>
  </si>
  <si>
    <t>To isolated beams</t>
  </si>
  <si>
    <t>Rough formwork to soffits</t>
  </si>
  <si>
    <t>Slabs not exceeding 250mm thick propped up, exceeding 1.5m not exceeding 3.5m high from bearing level.</t>
  </si>
  <si>
    <t>MOVEMENT JOINTS ETC</t>
  </si>
  <si>
    <t>Movement joints with "Jointex" between vertical concrete and Construction Joints</t>
  </si>
  <si>
    <t>Isolation joint, 10mm jointex sealed with polysulphide sealant to manufacturer's specifiction</t>
  </si>
  <si>
    <t>Saw cut joints</t>
  </si>
  <si>
    <t>3 x 60mm Saw cut joints in top of concrete</t>
  </si>
  <si>
    <t>REINFORCEMENT (PROVISIONAL)</t>
  </si>
  <si>
    <t>Mild steel reinforcement to structural concrete work</t>
  </si>
  <si>
    <t>Bars in various diameters ( assumed various kg/m3 as per Engineer)</t>
  </si>
  <si>
    <t>t</t>
  </si>
  <si>
    <t>Fabric reinforcement to surface beds only</t>
  </si>
  <si>
    <t>Type 254 fabric reinforcement in concrete surface beds, slabs, etc</t>
  </si>
  <si>
    <t>BILL NO. 4</t>
  </si>
  <si>
    <t>MASONRY</t>
  </si>
  <si>
    <t>SUBSTRUCTURE</t>
  </si>
  <si>
    <t>14 Mpa Clay Maxi bricks</t>
  </si>
  <si>
    <t>115mm  walls</t>
  </si>
  <si>
    <t>230mm walls</t>
  </si>
  <si>
    <t>SUPERSTRUCTURE</t>
  </si>
  <si>
    <t>7 Mpa Clay Maxi bricks</t>
  </si>
  <si>
    <t>115mm  in beam filling</t>
  </si>
  <si>
    <t>Brickwork reinforcement</t>
  </si>
  <si>
    <t>75mm Wide reinforcement built in horizontally</t>
  </si>
  <si>
    <t>150mm Wide reinforcement built in horizontally</t>
  </si>
  <si>
    <t>Prestressed fabricated lintels</t>
  </si>
  <si>
    <t>110 x 70mm Lintels in lengths not exceeding 3m</t>
  </si>
  <si>
    <t>Brickwork sundries</t>
  </si>
  <si>
    <t>Brixeal bituminous compound emulsion paint to walls</t>
  </si>
  <si>
    <t>BILL NO. 5</t>
  </si>
  <si>
    <t>WATERPROOFING</t>
  </si>
  <si>
    <t>DAMP PROOFING OF WALLS AND FLOORS</t>
  </si>
  <si>
    <t>On walls, stepped up in cavities, under cills, etc.</t>
  </si>
  <si>
    <t>'Gundle® API A.T USB Green' 375um membrane to SANS 952-1:2011 laid with minimum 150mm overlaps and sealed with 'Gunplas®' pressure sensitive tape:</t>
  </si>
  <si>
    <t>Under surface bed</t>
  </si>
  <si>
    <t>BILL NO. 6</t>
  </si>
  <si>
    <t>CARPENTRY AND JOINERY</t>
  </si>
  <si>
    <t>TIMBER DOORS ETC.</t>
  </si>
  <si>
    <t>Frames</t>
  </si>
  <si>
    <t>Skirtings</t>
  </si>
  <si>
    <t>BILL NO. 7</t>
  </si>
  <si>
    <t>CEILINGS AND PARTITIONS</t>
  </si>
  <si>
    <t>SUSPENDED CEILINGS</t>
  </si>
  <si>
    <t>Extra over ceiling for 1000 x 1000mm trap door</t>
  </si>
  <si>
    <t>RAKED CEILINGS</t>
  </si>
  <si>
    <t>EAVES CEILINGS</t>
  </si>
  <si>
    <t>Nutec ceilings to eaves</t>
  </si>
  <si>
    <t>To eaves</t>
  </si>
  <si>
    <t>CORNICES ETC</t>
  </si>
  <si>
    <t>Shadowline cornices to Interior designers specification</t>
  </si>
  <si>
    <t>Insulation to ceilings</t>
  </si>
  <si>
    <t>PARTITIONS ETC</t>
  </si>
  <si>
    <t>DRYWALL PARTITIONS</t>
  </si>
  <si>
    <t>Partitions consisting of 51mm studs with 12,5mm thick Gypsum plasterboard on both sides (fully skimmed with suitable  product  as  required  by  the  Architect),  with vertical supports at minimum 600mm centres (or as per manufacturers    recommendation)    including    50mm mineral wool insulation for acoustic enhancement.  The Contractor shall include all abutments, accessories and any other configurations as required on site in the rate below</t>
  </si>
  <si>
    <t>Partitions  3000mm  high  with  bottom  and  top  tracks plugged</t>
  </si>
  <si>
    <t>BILL NO 8</t>
  </si>
  <si>
    <t>FLOOR COVERINGS</t>
  </si>
  <si>
    <t>To internal floors</t>
  </si>
  <si>
    <t>BILL NO. 9</t>
  </si>
  <si>
    <t>PLASTERING</t>
  </si>
  <si>
    <t>SUPPLEMENTARY PREAMBLES</t>
  </si>
  <si>
    <t>INTERNAL PLASTER</t>
  </si>
  <si>
    <t>Cement plaster on brickwork</t>
  </si>
  <si>
    <t>On walls</t>
  </si>
  <si>
    <t>EXTERNAL PLASTER</t>
  </si>
  <si>
    <t>Narrow widths</t>
  </si>
  <si>
    <t>Cement plaster on concrete surfaces</t>
  </si>
  <si>
    <t>Soffits of slabs</t>
  </si>
  <si>
    <t>SCREEDS</t>
  </si>
  <si>
    <t>Screeds on concrete</t>
  </si>
  <si>
    <t>TILING</t>
  </si>
  <si>
    <t>BILL NO. 10</t>
  </si>
  <si>
    <t>FLOOR TILING</t>
  </si>
  <si>
    <t>PC Allowance for Tile @ R250/m2 and allow to take delivery thereof, storage, profit and mark-up and fixing with adhesive to screed (screed elsewhere) and flush pointed with tinted (waterproof) grout</t>
  </si>
  <si>
    <t>BILL NO. 11</t>
  </si>
  <si>
    <t>PLUMBING AND DRAINAGE</t>
  </si>
  <si>
    <t>Note:  The Contractor shall price all first and second fix plumbing items with all necessary pipework considered in terms of reticulation between points internally, as well as the pipework required from the external perimeter of the house.  All external plumbing priced separately and is elsewhere.</t>
  </si>
  <si>
    <t>Wash Hand Basins (WHB)</t>
  </si>
  <si>
    <t>First and Second fix plumbing including all necessary pipework, hot and cold water supplies complete (Sanitary Fitting elsewhere)</t>
  </si>
  <si>
    <t>Toilets (WC)</t>
  </si>
  <si>
    <t>BILL NO. 12</t>
  </si>
  <si>
    <t>PAINTWORK</t>
  </si>
  <si>
    <t>FLOATED PLASTER SURFACES</t>
  </si>
  <si>
    <t>Primed and painted with two coats Plascon Wall and All to be applied in strict accordance with manufacturers specifications, colour to be confirmed by Architect</t>
  </si>
  <si>
    <t>Internal walls</t>
  </si>
  <si>
    <t>FLOATED PLASTERED CONCRETE SURFACES</t>
  </si>
  <si>
    <t>Soffits</t>
  </si>
  <si>
    <t>External walls</t>
  </si>
  <si>
    <t>WOOD SURFACES</t>
  </si>
  <si>
    <t>One coat oil wood primer, one coat universal undercoat and two coats super universal enamel paint on</t>
  </si>
  <si>
    <t>Doors</t>
  </si>
  <si>
    <t>Door frames, etc</t>
  </si>
  <si>
    <t>Timber skirting</t>
  </si>
  <si>
    <t>ON PLASTER BOARD</t>
  </si>
  <si>
    <t>Primer, undercoat and two top coats Plascon Wall and All as per manufacturers specifications</t>
  </si>
  <si>
    <t>On ceilings and cornices externally</t>
  </si>
  <si>
    <t>Partitions</t>
  </si>
  <si>
    <t>PROVISIONAL SUMS</t>
  </si>
  <si>
    <t>IRONMONGERY</t>
  </si>
  <si>
    <t>LANDSCAPING</t>
  </si>
  <si>
    <t>SANWARE/BRASSWARE/GEYSERS/GAS GEYSER ETC.</t>
  </si>
  <si>
    <t>ALUMINIUM WINDOWS AND DOORS/LOUVRES</t>
  </si>
  <si>
    <t>SIGNAGE</t>
  </si>
  <si>
    <t>SEWER</t>
  </si>
  <si>
    <t>EARTHWORKS</t>
  </si>
  <si>
    <t>CONCRETE FORMWORK AND REINFORCEMENT</t>
  </si>
  <si>
    <t>WATERPROOF</t>
  </si>
  <si>
    <t>CEILINGS</t>
  </si>
  <si>
    <t>PLASTERERING</t>
  </si>
  <si>
    <t>PLUMBING</t>
  </si>
  <si>
    <t>WALKWAYS</t>
  </si>
  <si>
    <t>WALKWAY PAVING</t>
  </si>
  <si>
    <t>Site Clearance</t>
  </si>
  <si>
    <t>Excavations</t>
  </si>
  <si>
    <t>Excavate to reduce levels for layer works installation (elsewhere)</t>
  </si>
  <si>
    <t>Compaction</t>
  </si>
  <si>
    <t>Rip and re-compact excavated surface  to Minimum 93% of Mod. AASHTO density</t>
  </si>
  <si>
    <t>Filling with approved material G5 quality supplied and carted onto site by Contractor, compacted to a density of at least 100% Mod. AASHTO maximum density:</t>
  </si>
  <si>
    <t>Bedding to Engineer's details</t>
  </si>
  <si>
    <t>20mm sand</t>
  </si>
  <si>
    <t>Concrete pavers</t>
  </si>
  <si>
    <t>STORMWATER</t>
  </si>
  <si>
    <t>For preambles see "Model Preambles for Trades 2008"</t>
  </si>
  <si>
    <t>Earthworks</t>
  </si>
  <si>
    <t>Backfilling to pipe trenches</t>
  </si>
  <si>
    <t>Selected granular filling in bedding under and filling around pipes</t>
  </si>
  <si>
    <t>UPVC storm water pipes</t>
  </si>
  <si>
    <t>110mm UPVC pipes</t>
  </si>
  <si>
    <t>Extra over 110mm pipes for:</t>
  </si>
  <si>
    <t>Bends</t>
  </si>
  <si>
    <t>Junctions</t>
  </si>
  <si>
    <t>SUNDRIES</t>
  </si>
  <si>
    <t>Connections</t>
  </si>
  <si>
    <t>Testing</t>
  </si>
  <si>
    <t>Testing of the whole system</t>
  </si>
  <si>
    <t>DRIVEWAYS AND WALKWAYS</t>
  </si>
  <si>
    <t>PRELIMINARIES AND GENERAL</t>
  </si>
  <si>
    <t>BUILDING</t>
  </si>
  <si>
    <t>m²</t>
  </si>
  <si>
    <t>Existing foundation to be exposed and dimensions measured. including making good once work/measuring is finished</t>
  </si>
  <si>
    <t>m³</t>
  </si>
  <si>
    <t>ROUGH FORMWORK</t>
  </si>
  <si>
    <t>to edges n.e 300mm high, propped up not exceeding 3.5m</t>
  </si>
  <si>
    <t>Gundle® API Brikgrip® DPC 250um' damp proof course (SANS 952-12011):</t>
  </si>
  <si>
    <t>Internal doors to Architect's specification</t>
  </si>
  <si>
    <t>Internal ceilings</t>
  </si>
  <si>
    <t>CONCRETE SURFACES</t>
  </si>
  <si>
    <t>FIRST AND SECOND FIX PLUMBING INSTALLATION OF SANITARY FITTINGS INCLUDING RETICULATION AND WASTE PIPEWORK FOR ALL WORK REQUIRED UP TO EXTERNAL ENVELOPE</t>
  </si>
  <si>
    <t>BILL NO. 13</t>
  </si>
  <si>
    <t>Excavate for pipe trenches not exceeding 2m deep</t>
  </si>
  <si>
    <t>TOTAL PRELIMINARIES AND GENERAL</t>
  </si>
  <si>
    <t>TOTAL ALTERATIONS</t>
  </si>
  <si>
    <t>TOTAL EARTHWORKS</t>
  </si>
  <si>
    <t>TOTAL CONCRETE FORMWORK AND REINFORCEMENT</t>
  </si>
  <si>
    <t>TOTAL MASONRY</t>
  </si>
  <si>
    <t>TOTAL WATERPROOFING</t>
  </si>
  <si>
    <t>TOTAL CARPENTRY AND JOINERY</t>
  </si>
  <si>
    <t>TOTALCEILINGS AND PARTITIONS</t>
  </si>
  <si>
    <t>TOTAL FLOOR COVERINGS</t>
  </si>
  <si>
    <t>TOTAL PLASTERING</t>
  </si>
  <si>
    <t>TOTALPLUMBING AND DRAINAGE</t>
  </si>
  <si>
    <t>TOTAL PAINTWORK</t>
  </si>
  <si>
    <t>TOTAL PROVISIONAL SUMS</t>
  </si>
  <si>
    <t>TOTAL BUILDERS WORK</t>
  </si>
  <si>
    <t>TOTAL WALKWAYS</t>
  </si>
  <si>
    <t>TOTAL STORMWATER</t>
  </si>
  <si>
    <t>TOTAL EXTERNALWORKS</t>
  </si>
  <si>
    <t>TOTAL EX VAT</t>
  </si>
  <si>
    <t xml:space="preserve">ROOF SUPPLY AND INSTALLATION </t>
  </si>
  <si>
    <t>RAINWATER GOODS</t>
  </si>
  <si>
    <t>9.5mm gypsum plasterboard ceiling inclusive of all substructure as required, fixed to underside of SA pine roof trusses to specialist details</t>
  </si>
  <si>
    <t xml:space="preserve">TIMBER SCREEN </t>
  </si>
  <si>
    <t>Feature signage wall (brick pier)</t>
  </si>
  <si>
    <t>FEATURE WALL SIGNAGE</t>
  </si>
  <si>
    <t>Internal single door frame installed complete including priming of back of frames</t>
  </si>
  <si>
    <t>External single door frame installed complete including priming of back of frames</t>
  </si>
  <si>
    <t>TOTAL INCLUDING VAT</t>
  </si>
  <si>
    <t>VAT @ 15%</t>
  </si>
  <si>
    <t>Insulation to Architect specification</t>
  </si>
  <si>
    <t>Allowance for making good existing staircase</t>
  </si>
  <si>
    <t>Extra over for Feature plaster finish</t>
  </si>
  <si>
    <t>Feature plaster</t>
  </si>
  <si>
    <t>STAGE</t>
  </si>
  <si>
    <t>Columns</t>
  </si>
  <si>
    <t>Channels</t>
  </si>
  <si>
    <t>Drill and dowel new slab to existing</t>
  </si>
  <si>
    <t>Drill and dowel chemical anchors into existing suspended slab to Engineer's details</t>
  </si>
  <si>
    <t>Sink</t>
  </si>
  <si>
    <t>Prep bowl</t>
  </si>
  <si>
    <t>JOINERY FOR SOUND AND MEDIA</t>
  </si>
  <si>
    <t>Site Preliminaries and office overheads + QS measure sched of quants</t>
  </si>
  <si>
    <t>Mnths</t>
  </si>
  <si>
    <t>Public Liability Insurances  By Builder</t>
  </si>
  <si>
    <t xml:space="preserve">Site Toilets </t>
  </si>
  <si>
    <t>IMMANUAL CHURCH</t>
  </si>
  <si>
    <t>LOT 6459 TONGAAT, SEATIDES,</t>
  </si>
  <si>
    <t>172-188 GENAZANO ROAD</t>
  </si>
  <si>
    <t>PROVISIONAL BILLS OF QUANTITIES</t>
  </si>
  <si>
    <t>Contract Works Insurances--Existing Building-- Excluded   CLIENT TO DO</t>
  </si>
  <si>
    <t>ELECTRICAL INSTALLATION, LIGHT FITTINGS, PLUGS AND SWITCHES</t>
  </si>
  <si>
    <t>Provisional allowance for Ironmongery of R 15,000 ex vat</t>
  </si>
  <si>
    <t>Provisional Allowance for Landscaping of R 25,000 ex Vat</t>
  </si>
  <si>
    <t>TIMBER STAIRCASE AND TIMBER DECK</t>
  </si>
  <si>
    <t>MIRRORS AND BATHROOM ACCESSORIES</t>
  </si>
  <si>
    <t>Provisional allowance for Mirros and  bathroom accessories of R 5,000 ex vat</t>
  </si>
  <si>
    <t>Provisional allowance for Sewer of R 15 000 ex vat</t>
  </si>
  <si>
    <t>Provisional allowance for Timber screen (referenced as repurpose existing on drawing) of R 5 000 ex vat</t>
  </si>
  <si>
    <t>Provisional allowance for  Joinery for sound and media of R 35 000 ex vat</t>
  </si>
  <si>
    <t xml:space="preserve">Establishment </t>
  </si>
  <si>
    <t>Break existing surface bed (100mm thick assumed)</t>
  </si>
  <si>
    <t>External doors to Architect's specification</t>
  </si>
  <si>
    <t>TOTAL TILING</t>
  </si>
  <si>
    <t>Clear and grub within road reserve</t>
  </si>
  <si>
    <t>Geysers</t>
  </si>
  <si>
    <t>General plumbing allowance including connection to existing system</t>
  </si>
  <si>
    <t>D04- Internal door - Flush Panel semi solid internal door and installation complete</t>
  </si>
  <si>
    <t>D06-Internal door - Flush Panel semi solid internal door and installation completeupply (based on the PC rate) and installation complete</t>
  </si>
  <si>
    <t>D07- Internal door - Flush Panel semi solid internal door and installation complete</t>
  </si>
  <si>
    <t>D08- Internal door - Flush Panel semi solid internal door and installation complete</t>
  </si>
  <si>
    <t>D09-Internal door - Flush Panel semi solid internal door and installation complete</t>
  </si>
  <si>
    <t>D10- Internal door - Flush Panel semi solid internal door and installation complete</t>
  </si>
  <si>
    <t xml:space="preserve"> D12-  Solid external door and installation complete</t>
  </si>
  <si>
    <t>Allowance for Skirtings (PC rate R 45/m ex vat). Supply and install complete</t>
  </si>
  <si>
    <t>Making good existing walls including painting (skim and paint) - downstairs area only</t>
  </si>
  <si>
    <t>Allowance for new floor finishes to existing staircase (R 200/m2 PC for tiling)</t>
  </si>
  <si>
    <t>Provision for repairs to cracks across site</t>
  </si>
  <si>
    <t>sum</t>
  </si>
  <si>
    <t>Piers, 270 x 230mm wide, in common brickwork (above concrete rafter beam)</t>
  </si>
  <si>
    <t>Columns, stiffener piers and infill to brick pier</t>
  </si>
  <si>
    <t>Formwork to columns and stiffener piers with total height not exceeding 3.5m</t>
  </si>
  <si>
    <t>260mm walls (including areas where existing brickwork is raised)</t>
  </si>
  <si>
    <t>20mm Shadowline cornice</t>
  </si>
  <si>
    <t>Wall angle to external eaves installation</t>
  </si>
  <si>
    <t>Columns and stiffeners</t>
  </si>
  <si>
    <t xml:space="preserve">40mm Thick on floors </t>
  </si>
  <si>
    <t>To existing facebrick walls</t>
  </si>
  <si>
    <t>To Nutec ceilings externally</t>
  </si>
  <si>
    <t>METAL PALISADE/GATE</t>
  </si>
  <si>
    <t>BALUSTRADES</t>
  </si>
  <si>
    <t>to walkway areas</t>
  </si>
  <si>
    <t>laid to architects detail on river sand (elsewhere) - R 300/m2 ex vat PC</t>
  </si>
  <si>
    <t>Concrete stormwater channel</t>
  </si>
  <si>
    <t>Connect to existing services</t>
  </si>
  <si>
    <t>Markup @ 7,5%</t>
  </si>
  <si>
    <t>TOTAL INCLUDING MARKUP</t>
  </si>
  <si>
    <t xml:space="preserve">EXTERNAL WORKS </t>
  </si>
  <si>
    <t>Provisional allowance for sanware/brass ware/geysers of R 30,000 ex Vat</t>
  </si>
  <si>
    <t>Provisional allowance for Signage of R 10,000 ex vat</t>
  </si>
  <si>
    <t>Electrical installation</t>
  </si>
  <si>
    <t>1a</t>
  </si>
  <si>
    <t>1b</t>
  </si>
  <si>
    <t>Three phase Upgrade - Optional</t>
  </si>
  <si>
    <t>Berber point 650 - 50cmx50cm Carpet  tiles</t>
  </si>
  <si>
    <t>Decorated/Self levelling screed</t>
  </si>
  <si>
    <t>BILL NO. 14</t>
  </si>
  <si>
    <t>SUBCONTRACT PACKAGES</t>
  </si>
  <si>
    <t>TOTAL SUBCONTRACT PACKAGES</t>
  </si>
  <si>
    <t>DATE:  11 FEBRUARY 2026</t>
  </si>
  <si>
    <t>ALTERATIONS AND ADDITIONS</t>
  </si>
  <si>
    <t xml:space="preserve">Timber staircase and Timber deck construction </t>
  </si>
  <si>
    <t>Aluminium windows and doors</t>
  </si>
  <si>
    <t>Roof Supply and Installation</t>
  </si>
  <si>
    <t xml:space="preserve">GMS screen and gate </t>
  </si>
  <si>
    <t xml:space="preserve"> Balustrades</t>
  </si>
  <si>
    <t>Rainwater goods</t>
  </si>
  <si>
    <t>Timber screen</t>
  </si>
  <si>
    <t>Provisional allowance for  Stage of R 40 000 ex vat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</si>
</sst>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0.00_-;\-&quot;R&quot;* #,##0.00_-;_-&quot;R&quot;* &quot;-&quot;??_-;_-@_-"/>
    <numFmt numFmtId="164" formatCode="_-[$R-1C09]* #,##0.00_-;\-[$R-1C09]* #,##0.00_-;_-[$R-1C09]* &quot;-&quot;??_-;_-@_-"/>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u/>
      <sz val="11"/>
      <color theme="1"/>
      <name val="Aptos Narrow"/>
      <family val="2"/>
      <scheme val="minor"/>
    </font>
    <font>
      <sz val="10"/>
      <color rgb="FFFF0000"/>
      <name val="Arial Black"/>
      <family val="2"/>
    </font>
    <font>
      <sz val="10"/>
      <color theme="1"/>
      <name val="Aptos Narrow"/>
      <family val="2"/>
      <scheme val="minor"/>
    </font>
    <font>
      <b/>
      <u/>
      <sz val="12"/>
      <color theme="1"/>
      <name val="Arial Black"/>
      <family val="2"/>
    </font>
    <font>
      <b/>
      <u/>
      <sz val="12"/>
      <color theme="1"/>
      <name val="Calibri"/>
      <family val="2"/>
    </font>
    <font>
      <sz val="12"/>
      <color theme="1"/>
      <name val="Aptos Narrow"/>
      <family val="2"/>
      <scheme val="minor"/>
    </font>
    <font>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89999084444715716"/>
        <bgColor indexed="64"/>
      </patternFill>
    </fill>
    <fill>
      <patternFill patternType="solid">
        <fgColor rgb="FFFFC0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46">
    <xf numFmtId="0" fontId="0" fillId="0" borderId="0" xfId="0"/>
    <xf numFmtId="0" fontId="0" fillId="0" borderId="0" xfId="0" applyAlignment="1">
      <alignment horizontal="justify" wrapText="1"/>
    </xf>
    <xf numFmtId="38" fontId="0" fillId="0" borderId="0" xfId="0" applyNumberFormat="1" applyAlignment="1">
      <alignment vertical="top"/>
    </xf>
    <xf numFmtId="38" fontId="0" fillId="0" borderId="0" xfId="0" applyNumberFormat="1"/>
    <xf numFmtId="40" fontId="0" fillId="0" borderId="0" xfId="0" applyNumberFormat="1"/>
    <xf numFmtId="0" fontId="18" fillId="0" borderId="0" xfId="0" applyFont="1" applyAlignment="1">
      <alignment horizontal="justify" wrapText="1"/>
    </xf>
    <xf numFmtId="0" fontId="16" fillId="0" borderId="0" xfId="0" applyFont="1" applyAlignment="1">
      <alignment horizontal="justify" wrapText="1"/>
    </xf>
    <xf numFmtId="0" fontId="16" fillId="0" borderId="0" xfId="0" quotePrefix="1" applyFont="1" applyAlignment="1">
      <alignment horizontal="justify" wrapText="1"/>
    </xf>
    <xf numFmtId="38" fontId="16" fillId="0" borderId="0" xfId="0" applyNumberFormat="1" applyFont="1" applyAlignment="1">
      <alignment horizontal="center" vertical="center" wrapText="1"/>
    </xf>
    <xf numFmtId="0" fontId="16" fillId="0" borderId="0" xfId="0" applyFont="1" applyAlignment="1">
      <alignment horizontal="center" vertical="center" wrapText="1"/>
    </xf>
    <xf numFmtId="40" fontId="16" fillId="0" borderId="0" xfId="0" applyNumberFormat="1" applyFont="1" applyAlignment="1">
      <alignment horizontal="center" vertical="center" wrapText="1"/>
    </xf>
    <xf numFmtId="38" fontId="0" fillId="34" borderId="11" xfId="0" applyNumberFormat="1" applyFill="1" applyBorder="1" applyAlignment="1">
      <alignment vertical="top"/>
    </xf>
    <xf numFmtId="0" fontId="0" fillId="34" borderId="10" xfId="0" applyFill="1" applyBorder="1"/>
    <xf numFmtId="0" fontId="0" fillId="34" borderId="10" xfId="0" applyFill="1" applyBorder="1" applyAlignment="1">
      <alignment horizontal="justify" wrapText="1"/>
    </xf>
    <xf numFmtId="38" fontId="0" fillId="34" borderId="10" xfId="0" applyNumberFormat="1" applyFill="1" applyBorder="1"/>
    <xf numFmtId="40" fontId="0" fillId="34" borderId="10" xfId="0" applyNumberFormat="1" applyFill="1" applyBorder="1"/>
    <xf numFmtId="40" fontId="0" fillId="34" borderId="11" xfId="0" applyNumberFormat="1" applyFill="1" applyBorder="1"/>
    <xf numFmtId="0" fontId="14" fillId="0" borderId="0" xfId="0" applyFont="1"/>
    <xf numFmtId="38" fontId="0" fillId="0" borderId="15" xfId="0" applyNumberFormat="1" applyBorder="1" applyAlignment="1">
      <alignment vertical="top"/>
    </xf>
    <xf numFmtId="0" fontId="0" fillId="0" borderId="15" xfId="0" applyBorder="1"/>
    <xf numFmtId="164" fontId="19" fillId="33" borderId="12" xfId="42" applyNumberFormat="1" applyFont="1" applyFill="1" applyBorder="1" applyAlignment="1">
      <alignment horizontal="left"/>
    </xf>
    <xf numFmtId="0" fontId="20" fillId="0" borderId="15" xfId="0" applyFont="1" applyBorder="1" applyAlignment="1">
      <alignment horizontal="justify" wrapText="1"/>
    </xf>
    <xf numFmtId="0" fontId="20" fillId="0" borderId="15" xfId="0" applyFont="1" applyBorder="1"/>
    <xf numFmtId="0" fontId="20" fillId="33" borderId="13" xfId="0" applyFont="1" applyFill="1" applyBorder="1"/>
    <xf numFmtId="44" fontId="19" fillId="33" borderId="14" xfId="42" applyFont="1" applyFill="1" applyBorder="1" applyAlignment="1">
      <alignment horizontal="right"/>
    </xf>
    <xf numFmtId="0" fontId="18" fillId="0" borderId="0" xfId="0" applyFont="1" applyAlignment="1">
      <alignment horizontal="right"/>
    </xf>
    <xf numFmtId="0" fontId="21" fillId="0" borderId="0" xfId="0" applyFont="1" applyAlignment="1">
      <alignment horizontal="left"/>
    </xf>
    <xf numFmtId="0" fontId="22" fillId="0" borderId="0" xfId="0" applyFont="1" applyAlignment="1">
      <alignment horizontal="left"/>
    </xf>
    <xf numFmtId="0" fontId="23" fillId="0" borderId="0" xfId="0" applyFont="1" applyAlignment="1">
      <alignment horizontal="left"/>
    </xf>
    <xf numFmtId="38" fontId="24" fillId="0" borderId="0" xfId="0" applyNumberFormat="1" applyFont="1" applyAlignment="1">
      <alignment vertical="top"/>
    </xf>
    <xf numFmtId="0" fontId="24" fillId="0" borderId="0" xfId="0" applyFont="1"/>
    <xf numFmtId="40" fontId="24" fillId="0" borderId="0" xfId="0" applyNumberFormat="1" applyFont="1"/>
    <xf numFmtId="0" fontId="16" fillId="34" borderId="10" xfId="0" applyFont="1" applyFill="1" applyBorder="1" applyAlignment="1">
      <alignment horizontal="justify" wrapText="1"/>
    </xf>
    <xf numFmtId="0" fontId="16" fillId="34" borderId="10" xfId="0" applyFont="1" applyFill="1" applyBorder="1"/>
    <xf numFmtId="38" fontId="16" fillId="34" borderId="10" xfId="0" applyNumberFormat="1" applyFont="1" applyFill="1" applyBorder="1"/>
    <xf numFmtId="40" fontId="16" fillId="34" borderId="10" xfId="0" applyNumberFormat="1" applyFont="1" applyFill="1" applyBorder="1"/>
    <xf numFmtId="40" fontId="16" fillId="34" borderId="11" xfId="0" applyNumberFormat="1" applyFont="1" applyFill="1" applyBorder="1"/>
    <xf numFmtId="40" fontId="0" fillId="35" borderId="0" xfId="0" applyNumberFormat="1" applyFill="1"/>
    <xf numFmtId="38" fontId="0" fillId="0" borderId="0" xfId="0" applyNumberFormat="1" applyAlignment="1">
      <alignment horizontal="right" vertical="top"/>
    </xf>
    <xf numFmtId="38" fontId="14" fillId="0" borderId="0" xfId="0" applyNumberFormat="1" applyFont="1" applyAlignment="1">
      <alignment horizontal="right" vertical="top"/>
    </xf>
    <xf numFmtId="0" fontId="14" fillId="0" borderId="0" xfId="0" applyFont="1" applyAlignment="1">
      <alignment horizontal="justify" wrapText="1"/>
    </xf>
    <xf numFmtId="38" fontId="14" fillId="0" borderId="0" xfId="0" applyNumberFormat="1" applyFont="1"/>
    <xf numFmtId="40" fontId="14" fillId="0" borderId="0" xfId="0" applyNumberFormat="1" applyFont="1"/>
    <xf numFmtId="44" fontId="19" fillId="33" borderId="0" xfId="42" applyFont="1" applyFill="1" applyBorder="1" applyAlignment="1">
      <alignment horizontal="right"/>
    </xf>
    <xf numFmtId="40" fontId="0" fillId="34" borderId="0" xfId="0" applyNumberFormat="1" applyFill="1"/>
    <xf numFmtId="40" fontId="16" fillId="34"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81915</xdr:colOff>
      <xdr:row>1</xdr:row>
      <xdr:rowOff>0</xdr:rowOff>
    </xdr:from>
    <xdr:to>
      <xdr:col>7</xdr:col>
      <xdr:colOff>1127094</xdr:colOff>
      <xdr:row>6</xdr:row>
      <xdr:rowOff>17145</xdr:rowOff>
    </xdr:to>
    <xdr:pic>
      <xdr:nvPicPr>
        <xdr:cNvPr id="3" name="Picture 1">
          <a:extLst>
            <a:ext uri="{FF2B5EF4-FFF2-40B4-BE49-F238E27FC236}">
              <a16:creationId xmlns:a16="http://schemas.microsoft.com/office/drawing/2014/main" id="{3A9C3804-1E6C-4EC7-A405-BD923B273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6440" y="171450"/>
          <a:ext cx="2835879" cy="1141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B6809-78E5-495B-A2B8-9DBF898496CB}">
  <dimension ref="A2:I739"/>
  <sheetViews>
    <sheetView tabSelected="1" view="pageBreakPreview" zoomScale="85" zoomScaleNormal="100" zoomScaleSheetLayoutView="85" workbookViewId="0">
      <pane ySplit="9" topLeftCell="A10" activePane="bottomLeft" state="frozen"/>
      <selection pane="bottomLeft" activeCell="T12" sqref="T12"/>
    </sheetView>
  </sheetViews>
  <sheetFormatPr defaultRowHeight="14.4" x14ac:dyDescent="0.3"/>
  <cols>
    <col min="1" max="1" width="6.6640625" style="2" customWidth="1"/>
    <col min="2" max="2" width="1.6640625" customWidth="1"/>
    <col min="3" max="3" width="62.6640625" style="1" customWidth="1"/>
    <col min="4" max="4" width="1.6640625" customWidth="1"/>
    <col min="6" max="6" width="10" style="3" customWidth="1"/>
    <col min="7" max="7" width="13.44140625" style="4" customWidth="1"/>
    <col min="8" max="9" width="19" style="4" customWidth="1"/>
  </cols>
  <sheetData>
    <row r="2" spans="1:9" ht="18.600000000000001" x14ac:dyDescent="0.45">
      <c r="C2" s="26" t="s">
        <v>275</v>
      </c>
    </row>
    <row r="3" spans="1:9" ht="18.600000000000001" x14ac:dyDescent="0.45">
      <c r="C3" s="26" t="s">
        <v>276</v>
      </c>
    </row>
    <row r="4" spans="1:9" ht="15.6" x14ac:dyDescent="0.3">
      <c r="C4" s="27" t="s">
        <v>338</v>
      </c>
    </row>
    <row r="5" spans="1:9" ht="15.6" x14ac:dyDescent="0.3">
      <c r="C5" s="28"/>
    </row>
    <row r="6" spans="1:9" ht="18.600000000000001" x14ac:dyDescent="0.45">
      <c r="C6" s="26" t="s">
        <v>274</v>
      </c>
    </row>
    <row r="8" spans="1:9" ht="15" thickBot="1" x14ac:dyDescent="0.35">
      <c r="H8" s="25" t="s">
        <v>337</v>
      </c>
      <c r="I8" s="25"/>
    </row>
    <row r="9" spans="1:9" ht="16.8" thickBot="1" x14ac:dyDescent="0.45">
      <c r="A9" s="18"/>
      <c r="B9" s="19"/>
      <c r="C9" s="21"/>
      <c r="D9" s="22"/>
      <c r="E9" s="22"/>
      <c r="F9" s="20"/>
      <c r="G9" s="23"/>
      <c r="H9" s="24" t="s">
        <v>277</v>
      </c>
      <c r="I9" s="43"/>
    </row>
    <row r="10" spans="1:9" s="9" customFormat="1" ht="28.8" x14ac:dyDescent="0.3">
      <c r="A10" s="8" t="s">
        <v>0</v>
      </c>
      <c r="F10" s="8" t="s">
        <v>1</v>
      </c>
      <c r="G10" s="10" t="s">
        <v>2</v>
      </c>
      <c r="H10" s="10" t="s">
        <v>3</v>
      </c>
      <c r="I10" s="10"/>
    </row>
    <row r="12" spans="1:9" x14ac:dyDescent="0.3">
      <c r="C12" s="5" t="s">
        <v>4</v>
      </c>
      <c r="F12"/>
    </row>
    <row r="14" spans="1:9" x14ac:dyDescent="0.3">
      <c r="C14" s="5" t="s">
        <v>5</v>
      </c>
      <c r="F14"/>
    </row>
    <row r="16" spans="1:9" x14ac:dyDescent="0.3">
      <c r="A16" s="2">
        <v>1</v>
      </c>
      <c r="C16" s="1" t="s">
        <v>288</v>
      </c>
      <c r="E16" t="s">
        <v>6</v>
      </c>
      <c r="F16" s="3">
        <v>1</v>
      </c>
      <c r="G16" s="4">
        <f>35000+50000</f>
        <v>85000</v>
      </c>
      <c r="H16" s="4">
        <f>F16*G16</f>
        <v>85000</v>
      </c>
    </row>
    <row r="18" spans="1:9" x14ac:dyDescent="0.3">
      <c r="A18" s="2">
        <v>2</v>
      </c>
      <c r="C18" s="1" t="s">
        <v>270</v>
      </c>
      <c r="E18" t="s">
        <v>271</v>
      </c>
      <c r="F18" s="3">
        <v>6</v>
      </c>
      <c r="G18" s="4">
        <f>65000+20000</f>
        <v>85000</v>
      </c>
      <c r="H18" s="4">
        <f>F18*G18</f>
        <v>510000</v>
      </c>
    </row>
    <row r="20" spans="1:9" x14ac:dyDescent="0.3">
      <c r="A20" s="2">
        <v>2</v>
      </c>
      <c r="C20" s="1" t="s">
        <v>278</v>
      </c>
      <c r="E20" t="s">
        <v>6</v>
      </c>
    </row>
    <row r="22" spans="1:9" x14ac:dyDescent="0.3">
      <c r="A22" s="2">
        <v>3</v>
      </c>
      <c r="C22" s="1" t="s">
        <v>272</v>
      </c>
      <c r="E22" t="s">
        <v>6</v>
      </c>
      <c r="F22" s="3">
        <v>1</v>
      </c>
      <c r="G22" s="4">
        <v>3500</v>
      </c>
      <c r="H22" s="4">
        <f>F22*G22</f>
        <v>3500</v>
      </c>
    </row>
    <row r="24" spans="1:9" x14ac:dyDescent="0.3">
      <c r="A24" s="2">
        <v>4</v>
      </c>
      <c r="C24" s="1" t="s">
        <v>273</v>
      </c>
      <c r="E24" t="s">
        <v>271</v>
      </c>
      <c r="F24" s="3">
        <v>6</v>
      </c>
      <c r="G24" s="4">
        <v>1000</v>
      </c>
      <c r="H24" s="4">
        <f>F24*G24</f>
        <v>6000</v>
      </c>
    </row>
    <row r="27" spans="1:9" x14ac:dyDescent="0.3">
      <c r="A27" s="11"/>
      <c r="B27" s="12"/>
      <c r="C27" s="13" t="s">
        <v>230</v>
      </c>
      <c r="D27" s="12"/>
      <c r="E27" s="12"/>
      <c r="F27" s="14"/>
      <c r="G27" s="15"/>
      <c r="H27" s="16">
        <f>SUM(H16:H26)</f>
        <v>604500</v>
      </c>
      <c r="I27" s="44"/>
    </row>
    <row r="29" spans="1:9" x14ac:dyDescent="0.3">
      <c r="C29" s="5" t="s">
        <v>7</v>
      </c>
      <c r="F29"/>
    </row>
    <row r="31" spans="1:9" x14ac:dyDescent="0.3">
      <c r="C31" s="5" t="s">
        <v>8</v>
      </c>
      <c r="F31"/>
    </row>
    <row r="33" spans="1:8" x14ac:dyDescent="0.3">
      <c r="C33" s="6" t="s">
        <v>9</v>
      </c>
      <c r="F33"/>
    </row>
    <row r="35" spans="1:8" x14ac:dyDescent="0.3">
      <c r="A35" s="2">
        <v>1</v>
      </c>
      <c r="C35" s="1" t="s">
        <v>10</v>
      </c>
      <c r="E35" t="s">
        <v>11</v>
      </c>
      <c r="F35" s="3">
        <v>4</v>
      </c>
      <c r="G35" s="4">
        <v>850</v>
      </c>
      <c r="H35" s="4">
        <f>F35*G35</f>
        <v>3400</v>
      </c>
    </row>
    <row r="37" spans="1:8" x14ac:dyDescent="0.3">
      <c r="A37" s="2">
        <v>2</v>
      </c>
      <c r="C37" s="1" t="s">
        <v>289</v>
      </c>
      <c r="E37" t="s">
        <v>218</v>
      </c>
      <c r="F37" s="3">
        <f>71*0.15</f>
        <v>10.65</v>
      </c>
      <c r="G37" s="4">
        <v>1750</v>
      </c>
      <c r="H37" s="4">
        <f>F37*G37</f>
        <v>18637.5</v>
      </c>
    </row>
    <row r="39" spans="1:8" x14ac:dyDescent="0.3">
      <c r="C39" s="6" t="s">
        <v>12</v>
      </c>
      <c r="F39"/>
    </row>
    <row r="41" spans="1:8" x14ac:dyDescent="0.3">
      <c r="A41" s="2">
        <v>3</v>
      </c>
      <c r="C41" s="1" t="s">
        <v>13</v>
      </c>
      <c r="E41" t="s">
        <v>14</v>
      </c>
      <c r="F41" s="3">
        <v>7</v>
      </c>
      <c r="G41" s="4">
        <v>175</v>
      </c>
      <c r="H41" s="4">
        <f>F41*G41</f>
        <v>1225</v>
      </c>
    </row>
    <row r="43" spans="1:8" x14ac:dyDescent="0.3">
      <c r="A43" s="2">
        <v>4</v>
      </c>
      <c r="C43" s="1" t="s">
        <v>15</v>
      </c>
      <c r="E43" t="s">
        <v>218</v>
      </c>
      <c r="F43" s="3">
        <v>6</v>
      </c>
      <c r="G43" s="4">
        <v>450</v>
      </c>
      <c r="H43" s="4">
        <f>F43*G43</f>
        <v>2700</v>
      </c>
    </row>
    <row r="45" spans="1:8" x14ac:dyDescent="0.3">
      <c r="C45" s="6" t="s">
        <v>16</v>
      </c>
      <c r="F45"/>
    </row>
    <row r="47" spans="1:8" x14ac:dyDescent="0.3">
      <c r="A47" s="2">
        <v>5</v>
      </c>
      <c r="C47" s="1" t="s">
        <v>17</v>
      </c>
      <c r="E47" t="s">
        <v>218</v>
      </c>
      <c r="F47" s="3">
        <v>21</v>
      </c>
      <c r="G47" s="4">
        <v>180</v>
      </c>
      <c r="H47" s="4">
        <f>ROUND(F47*G47,2)</f>
        <v>3780</v>
      </c>
    </row>
    <row r="49" spans="1:8" x14ac:dyDescent="0.3">
      <c r="A49" s="2">
        <v>6</v>
      </c>
      <c r="C49" s="1" t="s">
        <v>18</v>
      </c>
      <c r="E49" t="s">
        <v>11</v>
      </c>
      <c r="F49" s="3">
        <v>1</v>
      </c>
      <c r="G49" s="4">
        <v>650</v>
      </c>
      <c r="H49" s="4">
        <f>ROUND(F49*G49,2)</f>
        <v>650</v>
      </c>
    </row>
    <row r="51" spans="1:8" x14ac:dyDescent="0.3">
      <c r="A51" s="2">
        <v>7</v>
      </c>
      <c r="C51" s="1" t="s">
        <v>19</v>
      </c>
      <c r="E51" t="s">
        <v>11</v>
      </c>
      <c r="F51" s="3">
        <v>1</v>
      </c>
      <c r="G51" s="4">
        <v>1250</v>
      </c>
      <c r="H51" s="4">
        <f>ROUND(F51*G51,2)</f>
        <v>1250</v>
      </c>
    </row>
    <row r="53" spans="1:8" x14ac:dyDescent="0.3">
      <c r="C53" s="6" t="s">
        <v>20</v>
      </c>
      <c r="F53"/>
    </row>
    <row r="55" spans="1:8" x14ac:dyDescent="0.3">
      <c r="A55" s="2">
        <v>8</v>
      </c>
      <c r="C55" s="1" t="s">
        <v>21</v>
      </c>
      <c r="E55" t="s">
        <v>218</v>
      </c>
      <c r="F55" s="3">
        <v>3</v>
      </c>
      <c r="G55" s="4">
        <v>950</v>
      </c>
      <c r="H55" s="4">
        <f>ROUND(F55*G55,2)</f>
        <v>2850</v>
      </c>
    </row>
    <row r="57" spans="1:8" x14ac:dyDescent="0.3">
      <c r="C57" s="6" t="s">
        <v>22</v>
      </c>
      <c r="F57"/>
    </row>
    <row r="59" spans="1:8" ht="28.8" x14ac:dyDescent="0.3">
      <c r="A59" s="2">
        <v>9</v>
      </c>
      <c r="C59" s="1" t="s">
        <v>303</v>
      </c>
      <c r="E59" t="s">
        <v>218</v>
      </c>
      <c r="F59" s="3">
        <f>756*0.75</f>
        <v>567</v>
      </c>
      <c r="G59" s="4">
        <v>150</v>
      </c>
      <c r="H59" s="4">
        <f>ROUND(F59*G59,2)</f>
        <v>85050</v>
      </c>
    </row>
    <row r="61" spans="1:8" x14ac:dyDescent="0.3">
      <c r="A61" s="2">
        <v>10</v>
      </c>
      <c r="C61" s="1" t="s">
        <v>259</v>
      </c>
      <c r="E61" t="s">
        <v>218</v>
      </c>
      <c r="F61" s="3">
        <v>9</v>
      </c>
      <c r="G61" s="4">
        <v>250</v>
      </c>
      <c r="H61" s="4">
        <f>ROUND(F61*G61,2)</f>
        <v>2250</v>
      </c>
    </row>
    <row r="63" spans="1:8" x14ac:dyDescent="0.3">
      <c r="A63" s="2">
        <v>11</v>
      </c>
      <c r="C63" s="1" t="s">
        <v>304</v>
      </c>
      <c r="E63" t="s">
        <v>218</v>
      </c>
      <c r="F63" s="3">
        <f>9+6</f>
        <v>15</v>
      </c>
      <c r="G63" s="4">
        <f>200+20+20+250</f>
        <v>490</v>
      </c>
      <c r="H63" s="4">
        <f>ROUND(F63*G63,2)</f>
        <v>7350</v>
      </c>
    </row>
    <row r="65" spans="1:9" x14ac:dyDescent="0.3">
      <c r="A65" s="2">
        <v>12</v>
      </c>
      <c r="C65" s="1" t="s">
        <v>305</v>
      </c>
      <c r="E65" t="s">
        <v>306</v>
      </c>
      <c r="F65" s="3">
        <v>1</v>
      </c>
      <c r="G65" s="4">
        <v>15000</v>
      </c>
      <c r="H65" s="4">
        <f>ROUND(F65*G65,2)</f>
        <v>15000</v>
      </c>
    </row>
    <row r="67" spans="1:9" x14ac:dyDescent="0.3">
      <c r="C67" s="6" t="s">
        <v>23</v>
      </c>
      <c r="F67"/>
    </row>
    <row r="69" spans="1:9" ht="28.8" x14ac:dyDescent="0.3">
      <c r="A69" s="2">
        <v>13</v>
      </c>
      <c r="C69" s="1" t="s">
        <v>219</v>
      </c>
      <c r="E69" t="s">
        <v>220</v>
      </c>
      <c r="F69" s="3">
        <v>2</v>
      </c>
      <c r="G69" s="4">
        <v>550</v>
      </c>
      <c r="H69" s="4">
        <f>ROUND(F69*G69,2)</f>
        <v>1100</v>
      </c>
    </row>
    <row r="71" spans="1:9" x14ac:dyDescent="0.3">
      <c r="C71" s="6" t="s">
        <v>265</v>
      </c>
      <c r="F71"/>
    </row>
    <row r="73" spans="1:9" ht="28.8" x14ac:dyDescent="0.3">
      <c r="A73" s="2">
        <v>14</v>
      </c>
      <c r="C73" s="1" t="s">
        <v>266</v>
      </c>
      <c r="E73" t="s">
        <v>14</v>
      </c>
      <c r="F73" s="3">
        <v>19</v>
      </c>
      <c r="G73" s="4">
        <v>1500</v>
      </c>
      <c r="H73" s="4">
        <f>ROUND(F73*G73,2)</f>
        <v>28500</v>
      </c>
    </row>
    <row r="77" spans="1:9" x14ac:dyDescent="0.3">
      <c r="A77" s="11"/>
      <c r="B77" s="12"/>
      <c r="C77" s="13" t="s">
        <v>231</v>
      </c>
      <c r="D77" s="12"/>
      <c r="E77" s="12"/>
      <c r="F77" s="14"/>
      <c r="G77" s="15"/>
      <c r="H77" s="16">
        <f>SUM(H32:H76)</f>
        <v>173742.5</v>
      </c>
      <c r="I77" s="44"/>
    </row>
    <row r="79" spans="1:9" x14ac:dyDescent="0.3">
      <c r="C79" s="5" t="s">
        <v>24</v>
      </c>
      <c r="F79"/>
    </row>
    <row r="81" spans="1:8" x14ac:dyDescent="0.3">
      <c r="C81" s="5" t="s">
        <v>25</v>
      </c>
      <c r="F81"/>
    </row>
    <row r="83" spans="1:8" x14ac:dyDescent="0.3">
      <c r="C83" s="1" t="s">
        <v>26</v>
      </c>
      <c r="F83"/>
    </row>
    <row r="85" spans="1:8" x14ac:dyDescent="0.3">
      <c r="C85" s="5" t="s">
        <v>27</v>
      </c>
      <c r="F85"/>
    </row>
    <row r="87" spans="1:8" x14ac:dyDescent="0.3">
      <c r="C87" s="6" t="s">
        <v>28</v>
      </c>
      <c r="F87"/>
    </row>
    <row r="89" spans="1:8" x14ac:dyDescent="0.3">
      <c r="A89" s="2">
        <v>1</v>
      </c>
      <c r="C89" s="1" t="s">
        <v>29</v>
      </c>
      <c r="E89" t="s">
        <v>220</v>
      </c>
      <c r="F89" s="3">
        <v>39</v>
      </c>
      <c r="G89" s="4">
        <v>110</v>
      </c>
      <c r="H89" s="4">
        <f>ROUND(F89*G89,2)</f>
        <v>4290</v>
      </c>
    </row>
    <row r="91" spans="1:8" x14ac:dyDescent="0.3">
      <c r="A91" s="2">
        <v>2</v>
      </c>
      <c r="C91" s="1" t="s">
        <v>30</v>
      </c>
      <c r="E91" t="s">
        <v>220</v>
      </c>
      <c r="F91" s="3">
        <v>21</v>
      </c>
      <c r="G91" s="4">
        <v>100</v>
      </c>
      <c r="H91" s="4">
        <f>ROUND(F91*G91,2)</f>
        <v>2100</v>
      </c>
    </row>
    <row r="93" spans="1:8" ht="43.2" x14ac:dyDescent="0.3">
      <c r="C93" s="6" t="s">
        <v>31</v>
      </c>
      <c r="F93"/>
    </row>
    <row r="95" spans="1:8" ht="43.2" x14ac:dyDescent="0.3">
      <c r="A95" s="2">
        <v>3</v>
      </c>
      <c r="C95" s="1" t="s">
        <v>32</v>
      </c>
      <c r="E95" t="s">
        <v>218</v>
      </c>
      <c r="F95" s="3">
        <v>4</v>
      </c>
      <c r="G95" s="4">
        <v>110</v>
      </c>
      <c r="H95" s="4">
        <f>ROUND(F95*G95,2)</f>
        <v>440</v>
      </c>
    </row>
    <row r="97" spans="1:8" x14ac:dyDescent="0.3">
      <c r="C97" s="6" t="s">
        <v>33</v>
      </c>
      <c r="F97"/>
    </row>
    <row r="99" spans="1:8" x14ac:dyDescent="0.3">
      <c r="A99" s="2">
        <v>4</v>
      </c>
      <c r="C99" s="1" t="s">
        <v>34</v>
      </c>
      <c r="E99" t="s">
        <v>218</v>
      </c>
      <c r="F99" s="3">
        <v>76</v>
      </c>
      <c r="G99" s="4">
        <v>10</v>
      </c>
      <c r="H99" s="4">
        <f>ROUND(F99*G99,2)</f>
        <v>760</v>
      </c>
    </row>
    <row r="101" spans="1:8" x14ac:dyDescent="0.3">
      <c r="C101" s="5" t="s">
        <v>35</v>
      </c>
      <c r="F101"/>
    </row>
    <row r="103" spans="1:8" ht="28.8" x14ac:dyDescent="0.3">
      <c r="C103" s="6" t="s">
        <v>36</v>
      </c>
      <c r="F103"/>
    </row>
    <row r="105" spans="1:8" x14ac:dyDescent="0.3">
      <c r="A105" s="2">
        <v>5</v>
      </c>
      <c r="C105" s="1" t="s">
        <v>37</v>
      </c>
      <c r="E105" t="s">
        <v>220</v>
      </c>
      <c r="F105" s="3">
        <v>15</v>
      </c>
      <c r="G105" s="4">
        <v>150</v>
      </c>
      <c r="H105" s="4">
        <f>ROUND(F105*G105,2)</f>
        <v>2250</v>
      </c>
    </row>
    <row r="107" spans="1:8" x14ac:dyDescent="0.3">
      <c r="C107" s="5" t="s">
        <v>38</v>
      </c>
      <c r="F107"/>
    </row>
    <row r="109" spans="1:8" x14ac:dyDescent="0.3">
      <c r="C109" s="6" t="s">
        <v>39</v>
      </c>
      <c r="F109"/>
    </row>
    <row r="111" spans="1:8" ht="57.6" x14ac:dyDescent="0.3">
      <c r="A111" s="2">
        <v>6</v>
      </c>
      <c r="C111" s="1" t="s">
        <v>40</v>
      </c>
      <c r="E111" t="s">
        <v>218</v>
      </c>
      <c r="F111" s="3">
        <v>105</v>
      </c>
      <c r="G111" s="4">
        <v>50</v>
      </c>
      <c r="H111" s="4">
        <f>ROUND(F111*G111,2)</f>
        <v>5250</v>
      </c>
    </row>
    <row r="113" spans="1:8" ht="28.8" x14ac:dyDescent="0.3">
      <c r="C113" s="6" t="s">
        <v>41</v>
      </c>
      <c r="F113"/>
    </row>
    <row r="115" spans="1:8" x14ac:dyDescent="0.3">
      <c r="A115" s="2">
        <v>7</v>
      </c>
      <c r="C115" s="1" t="s">
        <v>42</v>
      </c>
      <c r="E115" t="s">
        <v>220</v>
      </c>
      <c r="F115" s="3">
        <v>23</v>
      </c>
      <c r="G115" s="4">
        <v>90</v>
      </c>
      <c r="H115" s="4">
        <f>ROUND(F115*G115,2)</f>
        <v>2070</v>
      </c>
    </row>
    <row r="117" spans="1:8" ht="43.2" x14ac:dyDescent="0.3">
      <c r="C117" s="6" t="s">
        <v>43</v>
      </c>
      <c r="F117"/>
    </row>
    <row r="119" spans="1:8" x14ac:dyDescent="0.3">
      <c r="A119" s="2">
        <v>8</v>
      </c>
      <c r="C119" s="1" t="s">
        <v>44</v>
      </c>
      <c r="E119" t="s">
        <v>220</v>
      </c>
      <c r="F119" s="3">
        <v>11</v>
      </c>
      <c r="G119" s="4">
        <v>850</v>
      </c>
      <c r="H119" s="4">
        <f>ROUND(F119*G119,2)</f>
        <v>9350</v>
      </c>
    </row>
    <row r="121" spans="1:8" x14ac:dyDescent="0.3">
      <c r="A121" s="2">
        <v>9</v>
      </c>
      <c r="C121" s="1" t="s">
        <v>45</v>
      </c>
      <c r="E121" t="s">
        <v>220</v>
      </c>
      <c r="F121" s="3">
        <v>5</v>
      </c>
      <c r="G121" s="4">
        <v>850</v>
      </c>
      <c r="H121" s="4">
        <f>ROUND(F121*G121,2)</f>
        <v>4250</v>
      </c>
    </row>
    <row r="123" spans="1:8" x14ac:dyDescent="0.3">
      <c r="C123" s="5" t="s">
        <v>46</v>
      </c>
      <c r="F123"/>
    </row>
    <row r="125" spans="1:8" x14ac:dyDescent="0.3">
      <c r="C125" s="6" t="s">
        <v>47</v>
      </c>
      <c r="F125"/>
    </row>
    <row r="127" spans="1:8" x14ac:dyDescent="0.3">
      <c r="A127" s="2">
        <v>10</v>
      </c>
      <c r="C127" s="1" t="s">
        <v>48</v>
      </c>
      <c r="E127" t="s">
        <v>6</v>
      </c>
      <c r="F127" s="3">
        <v>1</v>
      </c>
      <c r="G127" s="4">
        <v>2000</v>
      </c>
      <c r="H127" s="4">
        <f>ROUND(F127*G127,2)</f>
        <v>2000</v>
      </c>
    </row>
    <row r="129" spans="1:9" x14ac:dyDescent="0.3">
      <c r="C129" s="5" t="s">
        <v>49</v>
      </c>
      <c r="F129"/>
    </row>
    <row r="131" spans="1:9" x14ac:dyDescent="0.3">
      <c r="C131" s="6" t="s">
        <v>50</v>
      </c>
      <c r="F131"/>
    </row>
    <row r="133" spans="1:9" x14ac:dyDescent="0.3">
      <c r="A133" s="2">
        <v>11</v>
      </c>
      <c r="C133" s="1" t="s">
        <v>51</v>
      </c>
      <c r="E133" t="s">
        <v>6</v>
      </c>
      <c r="F133" s="3">
        <v>1</v>
      </c>
      <c r="G133" s="4">
        <v>1000</v>
      </c>
      <c r="H133" s="4">
        <f>ROUND(F133*G133,2)</f>
        <v>1000</v>
      </c>
    </row>
    <row r="135" spans="1:9" x14ac:dyDescent="0.3">
      <c r="C135" s="5" t="s">
        <v>52</v>
      </c>
      <c r="F135"/>
    </row>
    <row r="137" spans="1:9" x14ac:dyDescent="0.3">
      <c r="C137" s="6" t="s">
        <v>53</v>
      </c>
      <c r="F137"/>
    </row>
    <row r="139" spans="1:9" ht="28.8" x14ac:dyDescent="0.3">
      <c r="A139" s="2">
        <v>12</v>
      </c>
      <c r="C139" s="1" t="s">
        <v>54</v>
      </c>
      <c r="E139" t="s">
        <v>218</v>
      </c>
      <c r="F139" s="3">
        <v>186</v>
      </c>
      <c r="G139" s="4">
        <v>17</v>
      </c>
      <c r="H139" s="4">
        <f>ROUND(F139*G139,2)</f>
        <v>3162</v>
      </c>
    </row>
    <row r="140" spans="1:9" x14ac:dyDescent="0.3">
      <c r="A140" s="11"/>
      <c r="B140" s="12"/>
      <c r="C140" s="13" t="s">
        <v>232</v>
      </c>
      <c r="D140" s="12"/>
      <c r="E140" s="12"/>
      <c r="F140" s="14"/>
      <c r="G140" s="15"/>
      <c r="H140" s="16">
        <f>SUM(H88:H139)</f>
        <v>36922</v>
      </c>
      <c r="I140" s="44"/>
    </row>
    <row r="142" spans="1:9" x14ac:dyDescent="0.3">
      <c r="C142" s="5" t="s">
        <v>55</v>
      </c>
      <c r="F142"/>
    </row>
    <row r="144" spans="1:9" x14ac:dyDescent="0.3">
      <c r="C144" s="5" t="s">
        <v>56</v>
      </c>
      <c r="F144"/>
    </row>
    <row r="146" spans="1:8" x14ac:dyDescent="0.3">
      <c r="C146" s="1" t="s">
        <v>26</v>
      </c>
      <c r="F146"/>
    </row>
    <row r="148" spans="1:8" x14ac:dyDescent="0.3">
      <c r="C148" s="5" t="s">
        <v>57</v>
      </c>
      <c r="F148"/>
    </row>
    <row r="150" spans="1:8" x14ac:dyDescent="0.3">
      <c r="C150" s="6" t="s">
        <v>58</v>
      </c>
      <c r="F150"/>
    </row>
    <row r="152" spans="1:8" x14ac:dyDescent="0.3">
      <c r="A152" s="2">
        <v>1</v>
      </c>
      <c r="C152" s="1" t="s">
        <v>59</v>
      </c>
      <c r="E152" t="s">
        <v>220</v>
      </c>
      <c r="F152" s="3">
        <v>2</v>
      </c>
      <c r="G152" s="4">
        <v>1800</v>
      </c>
      <c r="H152" s="4">
        <f>ROUND(F152*G152,2)</f>
        <v>3600</v>
      </c>
    </row>
    <row r="154" spans="1:8" x14ac:dyDescent="0.3">
      <c r="C154" s="5" t="s">
        <v>60</v>
      </c>
      <c r="F154"/>
    </row>
    <row r="156" spans="1:8" x14ac:dyDescent="0.3">
      <c r="C156" s="6" t="s">
        <v>61</v>
      </c>
      <c r="F156"/>
    </row>
    <row r="158" spans="1:8" x14ac:dyDescent="0.3">
      <c r="A158" s="2">
        <v>2</v>
      </c>
      <c r="C158" s="1" t="s">
        <v>62</v>
      </c>
      <c r="E158" t="s">
        <v>220</v>
      </c>
      <c r="F158" s="3">
        <v>9</v>
      </c>
      <c r="G158" s="4">
        <v>2050</v>
      </c>
      <c r="H158" s="4">
        <f>ROUND(F158*G158,2)</f>
        <v>18450</v>
      </c>
    </row>
    <row r="160" spans="1:8" x14ac:dyDescent="0.3">
      <c r="A160" s="2">
        <v>3</v>
      </c>
      <c r="C160" s="1" t="s">
        <v>63</v>
      </c>
      <c r="E160" t="s">
        <v>220</v>
      </c>
      <c r="F160" s="3">
        <v>2</v>
      </c>
      <c r="G160" s="4">
        <v>2050</v>
      </c>
      <c r="H160" s="4">
        <f>ROUND(F160*G160,2)</f>
        <v>4100</v>
      </c>
    </row>
    <row r="162" spans="1:8" x14ac:dyDescent="0.3">
      <c r="C162" s="5" t="s">
        <v>64</v>
      </c>
      <c r="F162"/>
    </row>
    <row r="164" spans="1:8" x14ac:dyDescent="0.3">
      <c r="C164" s="6" t="s">
        <v>65</v>
      </c>
      <c r="F164"/>
    </row>
    <row r="166" spans="1:8" x14ac:dyDescent="0.3">
      <c r="A166" s="2">
        <v>4</v>
      </c>
      <c r="C166" s="1" t="s">
        <v>66</v>
      </c>
      <c r="E166" t="s">
        <v>220</v>
      </c>
      <c r="F166" s="3">
        <v>11</v>
      </c>
      <c r="G166" s="4">
        <v>2200</v>
      </c>
      <c r="H166" s="4">
        <f>ROUND(F166*G166,2)</f>
        <v>24200</v>
      </c>
    </row>
    <row r="168" spans="1:8" x14ac:dyDescent="0.3">
      <c r="A168" s="2">
        <v>5</v>
      </c>
      <c r="C168" s="1" t="s">
        <v>308</v>
      </c>
      <c r="E168" t="s">
        <v>220</v>
      </c>
      <c r="F168" s="3">
        <f>4.24+(0.23*0.46*2*2)</f>
        <v>4.6631999999999998</v>
      </c>
      <c r="G168" s="4">
        <v>2200</v>
      </c>
      <c r="H168" s="4">
        <f>ROUND(F168*G168,2)</f>
        <v>10259.040000000001</v>
      </c>
    </row>
    <row r="170" spans="1:8" x14ac:dyDescent="0.3">
      <c r="A170" s="2">
        <v>6</v>
      </c>
      <c r="C170" s="1" t="s">
        <v>67</v>
      </c>
      <c r="E170" t="s">
        <v>220</v>
      </c>
      <c r="F170" s="3">
        <v>7</v>
      </c>
      <c r="G170" s="4">
        <v>2200</v>
      </c>
      <c r="H170" s="4">
        <f>ROUND(F170*G170,2)</f>
        <v>15400</v>
      </c>
    </row>
    <row r="172" spans="1:8" x14ac:dyDescent="0.3">
      <c r="A172" s="2">
        <v>7</v>
      </c>
      <c r="C172" s="1" t="s">
        <v>68</v>
      </c>
      <c r="E172" t="s">
        <v>220</v>
      </c>
      <c r="F172" s="3">
        <v>23</v>
      </c>
      <c r="G172" s="4">
        <v>2200</v>
      </c>
      <c r="H172" s="4">
        <f>ROUND(F172*G172,2)</f>
        <v>50600</v>
      </c>
    </row>
    <row r="174" spans="1:8" x14ac:dyDescent="0.3">
      <c r="C174" s="5" t="s">
        <v>69</v>
      </c>
      <c r="F174"/>
    </row>
    <row r="176" spans="1:8" x14ac:dyDescent="0.3">
      <c r="C176" s="6" t="s">
        <v>70</v>
      </c>
      <c r="F176"/>
    </row>
    <row r="178" spans="1:8" ht="28.8" x14ac:dyDescent="0.3">
      <c r="A178" s="2">
        <v>8</v>
      </c>
      <c r="C178" s="1" t="s">
        <v>71</v>
      </c>
      <c r="E178" t="s">
        <v>11</v>
      </c>
      <c r="F178" s="3">
        <v>12</v>
      </c>
      <c r="G178" s="4">
        <v>165</v>
      </c>
      <c r="H178" s="4">
        <f>ROUND(F178*G178,2)</f>
        <v>1980</v>
      </c>
    </row>
    <row r="180" spans="1:8" x14ac:dyDescent="0.3">
      <c r="C180" s="6" t="s">
        <v>72</v>
      </c>
      <c r="F180"/>
    </row>
    <row r="182" spans="1:8" x14ac:dyDescent="0.3">
      <c r="A182" s="2">
        <v>9</v>
      </c>
      <c r="C182" s="1" t="s">
        <v>73</v>
      </c>
      <c r="E182" t="s">
        <v>218</v>
      </c>
      <c r="F182" s="3">
        <v>93</v>
      </c>
      <c r="G182" s="4">
        <v>20</v>
      </c>
      <c r="H182" s="4">
        <f>ROUND(F182*G182,2)</f>
        <v>1860</v>
      </c>
    </row>
    <row r="184" spans="1:8" x14ac:dyDescent="0.3">
      <c r="C184" s="6" t="s">
        <v>74</v>
      </c>
      <c r="F184"/>
    </row>
    <row r="186" spans="1:8" x14ac:dyDescent="0.3">
      <c r="A186" s="2">
        <v>10</v>
      </c>
      <c r="C186" s="1" t="s">
        <v>75</v>
      </c>
      <c r="E186" t="s">
        <v>218</v>
      </c>
      <c r="F186" s="3">
        <v>71</v>
      </c>
      <c r="G186" s="4">
        <v>20</v>
      </c>
      <c r="H186" s="4">
        <f>ROUND(F186*G186,2)</f>
        <v>1420</v>
      </c>
    </row>
    <row r="188" spans="1:8" x14ac:dyDescent="0.3">
      <c r="C188" s="5" t="s">
        <v>221</v>
      </c>
      <c r="F188"/>
    </row>
    <row r="190" spans="1:8" x14ac:dyDescent="0.3">
      <c r="C190" s="6" t="s">
        <v>76</v>
      </c>
      <c r="F190"/>
    </row>
    <row r="192" spans="1:8" x14ac:dyDescent="0.3">
      <c r="A192" s="2">
        <v>11</v>
      </c>
      <c r="C192" s="1" t="s">
        <v>62</v>
      </c>
      <c r="E192" t="s">
        <v>218</v>
      </c>
      <c r="F192" s="3">
        <v>24</v>
      </c>
      <c r="G192" s="4">
        <v>250</v>
      </c>
      <c r="H192" s="4">
        <f>ROUND(F192*G192,2)</f>
        <v>6000</v>
      </c>
    </row>
    <row r="194" spans="1:8" x14ac:dyDescent="0.3">
      <c r="A194" s="2">
        <v>12</v>
      </c>
      <c r="C194" s="1" t="s">
        <v>77</v>
      </c>
      <c r="E194" t="s">
        <v>218</v>
      </c>
      <c r="F194" s="3">
        <v>4</v>
      </c>
      <c r="G194" s="4">
        <v>250</v>
      </c>
      <c r="H194" s="4">
        <f>ROUND(F194*G194,2)</f>
        <v>1000</v>
      </c>
    </row>
    <row r="196" spans="1:8" ht="28.8" x14ac:dyDescent="0.3">
      <c r="A196" s="2">
        <v>13</v>
      </c>
      <c r="C196" s="1" t="s">
        <v>309</v>
      </c>
      <c r="E196" t="s">
        <v>218</v>
      </c>
      <c r="F196" s="3">
        <f>46.1+((0.23+0.23+0.75+0.75)*2*2)</f>
        <v>53.94</v>
      </c>
      <c r="G196" s="4">
        <v>350</v>
      </c>
      <c r="H196" s="4">
        <f>ROUND(F196*G196,2)</f>
        <v>18879</v>
      </c>
    </row>
    <row r="198" spans="1:8" x14ac:dyDescent="0.3">
      <c r="A198" s="2">
        <v>14</v>
      </c>
      <c r="C198" s="1" t="s">
        <v>222</v>
      </c>
      <c r="E198" t="s">
        <v>14</v>
      </c>
      <c r="F198" s="3">
        <v>49</v>
      </c>
      <c r="G198" s="4">
        <v>130</v>
      </c>
      <c r="H198" s="4">
        <f>ROUND(F198*G198,2)</f>
        <v>6370</v>
      </c>
    </row>
    <row r="200" spans="1:8" x14ac:dyDescent="0.3">
      <c r="C200" s="6" t="s">
        <v>78</v>
      </c>
      <c r="F200"/>
    </row>
    <row r="202" spans="1:8" x14ac:dyDescent="0.3">
      <c r="A202" s="2">
        <v>15</v>
      </c>
      <c r="C202" s="1" t="s">
        <v>79</v>
      </c>
      <c r="E202" t="s">
        <v>218</v>
      </c>
      <c r="F202" s="3">
        <v>68</v>
      </c>
      <c r="G202" s="4">
        <v>450</v>
      </c>
      <c r="H202" s="4">
        <f>ROUND(F202*G202,2)</f>
        <v>30600</v>
      </c>
    </row>
    <row r="204" spans="1:8" x14ac:dyDescent="0.3">
      <c r="C204" s="6" t="s">
        <v>80</v>
      </c>
      <c r="F204"/>
    </row>
    <row r="206" spans="1:8" ht="28.8" x14ac:dyDescent="0.3">
      <c r="A206" s="2">
        <v>16</v>
      </c>
      <c r="C206" s="1" t="s">
        <v>81</v>
      </c>
      <c r="E206" t="s">
        <v>218</v>
      </c>
      <c r="F206" s="3">
        <v>93</v>
      </c>
      <c r="G206" s="4">
        <v>250</v>
      </c>
      <c r="H206" s="4">
        <f>ROUND(F206*G206,2)</f>
        <v>23250</v>
      </c>
    </row>
    <row r="208" spans="1:8" x14ac:dyDescent="0.3">
      <c r="C208" s="5" t="s">
        <v>82</v>
      </c>
      <c r="F208"/>
    </row>
    <row r="210" spans="1:8" ht="28.8" x14ac:dyDescent="0.3">
      <c r="C210" s="6" t="s">
        <v>83</v>
      </c>
      <c r="F210"/>
    </row>
    <row r="212" spans="1:8" ht="28.8" x14ac:dyDescent="0.3">
      <c r="A212" s="2">
        <v>17</v>
      </c>
      <c r="C212" s="1" t="s">
        <v>84</v>
      </c>
      <c r="E212" t="s">
        <v>14</v>
      </c>
      <c r="F212" s="3">
        <v>41</v>
      </c>
      <c r="G212" s="4">
        <v>40</v>
      </c>
      <c r="H212" s="4">
        <f>ROUND(F212*G212,2)</f>
        <v>1640</v>
      </c>
    </row>
    <row r="214" spans="1:8" x14ac:dyDescent="0.3">
      <c r="C214" s="6" t="s">
        <v>85</v>
      </c>
      <c r="F214"/>
    </row>
    <row r="216" spans="1:8" x14ac:dyDescent="0.3">
      <c r="A216" s="2">
        <v>18</v>
      </c>
      <c r="C216" s="1" t="s">
        <v>86</v>
      </c>
      <c r="E216" t="s">
        <v>14</v>
      </c>
      <c r="F216" s="3">
        <v>14</v>
      </c>
      <c r="G216" s="4">
        <v>30</v>
      </c>
      <c r="H216" s="4">
        <f>ROUND(F216*G216,2)</f>
        <v>420</v>
      </c>
    </row>
    <row r="218" spans="1:8" x14ac:dyDescent="0.3">
      <c r="C218" s="5" t="s">
        <v>87</v>
      </c>
      <c r="F218"/>
    </row>
    <row r="220" spans="1:8" x14ac:dyDescent="0.3">
      <c r="C220" s="6" t="s">
        <v>88</v>
      </c>
      <c r="F220"/>
    </row>
    <row r="222" spans="1:8" x14ac:dyDescent="0.3">
      <c r="A222" s="2">
        <v>19</v>
      </c>
      <c r="C222" s="1" t="s">
        <v>89</v>
      </c>
      <c r="E222" t="s">
        <v>90</v>
      </c>
      <c r="F222" s="4">
        <f>6.92+(0.75*0.23*2*2)*120/1000</f>
        <v>7.0027999999999997</v>
      </c>
      <c r="G222" s="4">
        <v>17000</v>
      </c>
      <c r="H222" s="4">
        <f>ROUND(F222*G222,2)</f>
        <v>119047.6</v>
      </c>
    </row>
    <row r="224" spans="1:8" x14ac:dyDescent="0.3">
      <c r="C224" s="6" t="s">
        <v>91</v>
      </c>
      <c r="F224"/>
    </row>
    <row r="226" spans="1:9" x14ac:dyDescent="0.3">
      <c r="A226" s="2">
        <v>20</v>
      </c>
      <c r="C226" s="1" t="s">
        <v>92</v>
      </c>
      <c r="E226" t="s">
        <v>218</v>
      </c>
      <c r="F226" s="3">
        <v>71</v>
      </c>
      <c r="G226" s="4">
        <v>85</v>
      </c>
      <c r="H226" s="4">
        <f>ROUND(F226*G226,2)</f>
        <v>6035</v>
      </c>
    </row>
    <row r="227" spans="1:9" x14ac:dyDescent="0.3">
      <c r="A227" s="11"/>
      <c r="B227" s="12"/>
      <c r="C227" s="13" t="s">
        <v>233</v>
      </c>
      <c r="D227" s="12"/>
      <c r="E227" s="12"/>
      <c r="F227" s="14"/>
      <c r="G227" s="15"/>
      <c r="H227" s="16">
        <f>SUM(H151:H226)</f>
        <v>345110.64</v>
      </c>
      <c r="I227" s="44"/>
    </row>
    <row r="229" spans="1:9" x14ac:dyDescent="0.3">
      <c r="C229" s="5" t="s">
        <v>93</v>
      </c>
      <c r="F229"/>
    </row>
    <row r="231" spans="1:9" x14ac:dyDescent="0.3">
      <c r="C231" s="5" t="s">
        <v>94</v>
      </c>
      <c r="F231"/>
    </row>
    <row r="233" spans="1:9" x14ac:dyDescent="0.3">
      <c r="C233" s="1" t="s">
        <v>26</v>
      </c>
      <c r="F233"/>
    </row>
    <row r="235" spans="1:9" x14ac:dyDescent="0.3">
      <c r="C235" s="5" t="s">
        <v>95</v>
      </c>
      <c r="F235"/>
    </row>
    <row r="237" spans="1:9" x14ac:dyDescent="0.3">
      <c r="C237" s="6" t="s">
        <v>96</v>
      </c>
      <c r="F237"/>
    </row>
    <row r="239" spans="1:9" x14ac:dyDescent="0.3">
      <c r="A239" s="2">
        <v>1</v>
      </c>
      <c r="C239" s="1" t="s">
        <v>98</v>
      </c>
      <c r="E239" t="s">
        <v>218</v>
      </c>
      <c r="F239" s="3">
        <v>22</v>
      </c>
      <c r="G239" s="4">
        <v>630</v>
      </c>
      <c r="H239" s="4">
        <f>ROUND(F239*G239,2)</f>
        <v>13860</v>
      </c>
    </row>
    <row r="241" spans="1:9" x14ac:dyDescent="0.3">
      <c r="C241" s="5" t="s">
        <v>99</v>
      </c>
      <c r="F241"/>
    </row>
    <row r="243" spans="1:9" x14ac:dyDescent="0.3">
      <c r="C243" s="6" t="s">
        <v>100</v>
      </c>
      <c r="F243"/>
    </row>
    <row r="245" spans="1:9" x14ac:dyDescent="0.3">
      <c r="A245" s="2">
        <v>2</v>
      </c>
      <c r="C245" s="1" t="s">
        <v>97</v>
      </c>
      <c r="E245" t="s">
        <v>218</v>
      </c>
      <c r="F245" s="3">
        <v>100</v>
      </c>
      <c r="G245" s="4">
        <v>315</v>
      </c>
      <c r="H245" s="4">
        <f>ROUND(F245*G245,2)</f>
        <v>31500</v>
      </c>
    </row>
    <row r="247" spans="1:9" x14ac:dyDescent="0.3">
      <c r="A247" s="2">
        <v>3</v>
      </c>
      <c r="C247" s="1" t="s">
        <v>101</v>
      </c>
      <c r="E247" t="s">
        <v>218</v>
      </c>
      <c r="F247" s="3">
        <v>12</v>
      </c>
      <c r="G247" s="4">
        <v>315</v>
      </c>
      <c r="H247" s="4">
        <f>ROUND(F247*G247,2)</f>
        <v>3780</v>
      </c>
    </row>
    <row r="249" spans="1:9" x14ac:dyDescent="0.3">
      <c r="A249" s="2">
        <v>4</v>
      </c>
      <c r="C249" s="1" t="s">
        <v>310</v>
      </c>
      <c r="E249" t="s">
        <v>218</v>
      </c>
      <c r="F249" s="3">
        <f>388+34+15</f>
        <v>437</v>
      </c>
      <c r="G249" s="4">
        <v>630</v>
      </c>
      <c r="H249" s="4">
        <f>ROUND(F249*G249,2)</f>
        <v>275310</v>
      </c>
    </row>
    <row r="251" spans="1:9" x14ac:dyDescent="0.3">
      <c r="A251" s="2">
        <v>5</v>
      </c>
      <c r="C251" s="1" t="s">
        <v>252</v>
      </c>
      <c r="E251" t="s">
        <v>218</v>
      </c>
      <c r="F251" s="3">
        <f>(1.2+0.6+1.2+0.6)*6</f>
        <v>21.6</v>
      </c>
      <c r="G251" s="4">
        <v>630</v>
      </c>
      <c r="H251" s="4">
        <f>ROUND(F251*G251,2)</f>
        <v>13608</v>
      </c>
    </row>
    <row r="253" spans="1:9" s="30" customFormat="1" x14ac:dyDescent="0.3">
      <c r="A253" s="29">
        <v>6</v>
      </c>
      <c r="C253" s="30" t="s">
        <v>307</v>
      </c>
      <c r="E253" s="30" t="s">
        <v>11</v>
      </c>
      <c r="F253" s="31">
        <v>12</v>
      </c>
      <c r="G253" s="31">
        <v>375</v>
      </c>
      <c r="H253" s="31">
        <f>ROUND(F253*G253,2)</f>
        <v>4500</v>
      </c>
      <c r="I253" s="31"/>
    </row>
    <row r="255" spans="1:9" x14ac:dyDescent="0.3">
      <c r="C255" s="6" t="s">
        <v>102</v>
      </c>
      <c r="F255"/>
    </row>
    <row r="257" spans="1:9" x14ac:dyDescent="0.3">
      <c r="A257" s="2">
        <v>7</v>
      </c>
      <c r="C257" s="1" t="s">
        <v>103</v>
      </c>
      <c r="E257" t="s">
        <v>14</v>
      </c>
      <c r="F257" s="3">
        <f>(F245+F247)*3</f>
        <v>336</v>
      </c>
      <c r="G257" s="4">
        <v>4</v>
      </c>
      <c r="H257" s="4">
        <f>ROUND(F257*G257,2)</f>
        <v>1344</v>
      </c>
    </row>
    <row r="259" spans="1:9" x14ac:dyDescent="0.3">
      <c r="A259" s="2">
        <v>8</v>
      </c>
      <c r="C259" s="1" t="s">
        <v>104</v>
      </c>
      <c r="E259" t="s">
        <v>14</v>
      </c>
      <c r="F259" s="3">
        <f>(F249+F251)*3</f>
        <v>1375.8000000000002</v>
      </c>
      <c r="G259" s="4">
        <v>6</v>
      </c>
      <c r="H259" s="4">
        <f>ROUND(F259*G259,2)</f>
        <v>8254.7999999999993</v>
      </c>
    </row>
    <row r="261" spans="1:9" x14ac:dyDescent="0.3">
      <c r="C261" s="6" t="s">
        <v>105</v>
      </c>
      <c r="F261"/>
    </row>
    <row r="263" spans="1:9" x14ac:dyDescent="0.3">
      <c r="A263" s="2">
        <v>9</v>
      </c>
      <c r="C263" s="1" t="s">
        <v>106</v>
      </c>
      <c r="E263" t="s">
        <v>14</v>
      </c>
      <c r="F263" s="3">
        <f>62*2+(20*2)</f>
        <v>164</v>
      </c>
      <c r="G263" s="4">
        <v>75</v>
      </c>
      <c r="H263" s="4">
        <f>ROUND(F263*G263,2)</f>
        <v>12300</v>
      </c>
    </row>
    <row r="265" spans="1:9" x14ac:dyDescent="0.3">
      <c r="C265" s="6" t="s">
        <v>107</v>
      </c>
      <c r="F265"/>
    </row>
    <row r="267" spans="1:9" x14ac:dyDescent="0.3">
      <c r="A267" s="2">
        <v>10</v>
      </c>
      <c r="C267" s="1" t="s">
        <v>108</v>
      </c>
      <c r="E267" t="s">
        <v>218</v>
      </c>
      <c r="F267" s="3">
        <f>F249+F251</f>
        <v>458.6</v>
      </c>
      <c r="G267" s="4">
        <v>35</v>
      </c>
      <c r="H267" s="4">
        <f>ROUND(F267*G267,2)</f>
        <v>16051</v>
      </c>
    </row>
    <row r="268" spans="1:9" x14ac:dyDescent="0.3">
      <c r="A268" s="11"/>
      <c r="B268" s="12"/>
      <c r="C268" s="13" t="s">
        <v>234</v>
      </c>
      <c r="D268" s="12"/>
      <c r="E268" s="12"/>
      <c r="F268" s="14"/>
      <c r="G268" s="15"/>
      <c r="H268" s="16">
        <f>SUM(H238:H267)</f>
        <v>380507.8</v>
      </c>
      <c r="I268" s="44"/>
    </row>
    <row r="270" spans="1:9" x14ac:dyDescent="0.3">
      <c r="C270" s="5" t="s">
        <v>109</v>
      </c>
      <c r="F270"/>
    </row>
    <row r="272" spans="1:9" x14ac:dyDescent="0.3">
      <c r="C272" s="5" t="s">
        <v>110</v>
      </c>
      <c r="F272"/>
    </row>
    <row r="274" spans="1:9" x14ac:dyDescent="0.3">
      <c r="C274" s="1" t="s">
        <v>26</v>
      </c>
      <c r="F274"/>
    </row>
    <row r="276" spans="1:9" x14ac:dyDescent="0.3">
      <c r="C276" s="5" t="s">
        <v>111</v>
      </c>
      <c r="F276"/>
    </row>
    <row r="278" spans="1:9" x14ac:dyDescent="0.3">
      <c r="C278" s="7" t="s">
        <v>223</v>
      </c>
      <c r="F278"/>
    </row>
    <row r="280" spans="1:9" x14ac:dyDescent="0.3">
      <c r="A280" s="2">
        <v>1</v>
      </c>
      <c r="C280" s="1" t="s">
        <v>112</v>
      </c>
      <c r="E280" t="s">
        <v>218</v>
      </c>
      <c r="F280" s="3">
        <v>38</v>
      </c>
      <c r="G280" s="4">
        <v>120</v>
      </c>
      <c r="H280" s="4">
        <f>ROUND(F280*G280,2)</f>
        <v>4560</v>
      </c>
    </row>
    <row r="282" spans="1:9" ht="43.2" x14ac:dyDescent="0.3">
      <c r="C282" s="6" t="s">
        <v>113</v>
      </c>
      <c r="F282"/>
    </row>
    <row r="284" spans="1:9" x14ac:dyDescent="0.3">
      <c r="A284" s="2">
        <v>2</v>
      </c>
      <c r="C284" s="1" t="s">
        <v>114</v>
      </c>
      <c r="E284" t="s">
        <v>218</v>
      </c>
      <c r="F284" s="3">
        <v>71</v>
      </c>
      <c r="G284" s="4">
        <v>40</v>
      </c>
      <c r="H284" s="4">
        <f>ROUND(F284*G284,2)</f>
        <v>2840</v>
      </c>
    </row>
    <row r="286" spans="1:9" x14ac:dyDescent="0.3">
      <c r="C286" s="5"/>
      <c r="F286"/>
    </row>
    <row r="287" spans="1:9" x14ac:dyDescent="0.3">
      <c r="A287" s="11"/>
      <c r="B287" s="12"/>
      <c r="C287" s="13" t="s">
        <v>235</v>
      </c>
      <c r="D287" s="12"/>
      <c r="E287" s="12"/>
      <c r="F287" s="14"/>
      <c r="G287" s="15"/>
      <c r="H287" s="16">
        <f>SUM(H276:H286)</f>
        <v>7400</v>
      </c>
      <c r="I287" s="44"/>
    </row>
    <row r="289" spans="1:8" x14ac:dyDescent="0.3">
      <c r="C289" s="5" t="s">
        <v>115</v>
      </c>
      <c r="F289"/>
    </row>
    <row r="291" spans="1:8" x14ac:dyDescent="0.3">
      <c r="C291" s="5" t="s">
        <v>116</v>
      </c>
      <c r="F291"/>
    </row>
    <row r="293" spans="1:8" x14ac:dyDescent="0.3">
      <c r="C293" s="1" t="s">
        <v>26</v>
      </c>
      <c r="F293"/>
    </row>
    <row r="295" spans="1:8" x14ac:dyDescent="0.3">
      <c r="C295" s="5" t="s">
        <v>117</v>
      </c>
      <c r="F295"/>
    </row>
    <row r="297" spans="1:8" x14ac:dyDescent="0.3">
      <c r="C297" s="6" t="s">
        <v>224</v>
      </c>
      <c r="F297"/>
    </row>
    <row r="299" spans="1:8" ht="28.8" x14ac:dyDescent="0.3">
      <c r="A299" s="2">
        <v>1</v>
      </c>
      <c r="C299" s="1" t="s">
        <v>295</v>
      </c>
      <c r="E299" t="s">
        <v>11</v>
      </c>
      <c r="F299" s="3">
        <v>1</v>
      </c>
      <c r="G299" s="4">
        <f>(730+450)</f>
        <v>1180</v>
      </c>
      <c r="H299" s="4">
        <f>ROUND(F299*G299,2)</f>
        <v>1180</v>
      </c>
    </row>
    <row r="301" spans="1:8" ht="28.8" x14ac:dyDescent="0.3">
      <c r="A301" s="2">
        <v>2</v>
      </c>
      <c r="C301" s="1" t="s">
        <v>296</v>
      </c>
      <c r="E301" t="s">
        <v>11</v>
      </c>
      <c r="F301" s="3">
        <v>1</v>
      </c>
      <c r="G301" s="4">
        <f>(730+450)</f>
        <v>1180</v>
      </c>
      <c r="H301" s="4">
        <f>ROUND(F301*G301,2)</f>
        <v>1180</v>
      </c>
    </row>
    <row r="303" spans="1:8" ht="28.8" x14ac:dyDescent="0.3">
      <c r="A303" s="2">
        <v>3</v>
      </c>
      <c r="C303" s="1" t="s">
        <v>297</v>
      </c>
      <c r="E303" t="s">
        <v>11</v>
      </c>
      <c r="F303" s="3">
        <v>1</v>
      </c>
      <c r="G303" s="4">
        <f>(730+450)</f>
        <v>1180</v>
      </c>
      <c r="H303" s="4">
        <f>ROUND(F303*G303,2)</f>
        <v>1180</v>
      </c>
    </row>
    <row r="305" spans="1:8" ht="28.8" x14ac:dyDescent="0.3">
      <c r="A305" s="2">
        <v>4</v>
      </c>
      <c r="C305" s="1" t="s">
        <v>298</v>
      </c>
      <c r="E305" t="s">
        <v>11</v>
      </c>
      <c r="F305" s="3">
        <v>1</v>
      </c>
      <c r="G305" s="4">
        <f>(730+450)</f>
        <v>1180</v>
      </c>
      <c r="H305" s="4">
        <f>ROUND(F305*G305,2)</f>
        <v>1180</v>
      </c>
    </row>
    <row r="307" spans="1:8" ht="28.8" x14ac:dyDescent="0.3">
      <c r="A307" s="2">
        <v>5</v>
      </c>
      <c r="C307" s="1" t="s">
        <v>299</v>
      </c>
      <c r="E307" t="s">
        <v>11</v>
      </c>
      <c r="F307" s="3">
        <v>1</v>
      </c>
      <c r="G307" s="4">
        <f>(730+450)</f>
        <v>1180</v>
      </c>
      <c r="H307" s="4">
        <f>ROUND(F307*G307,2)</f>
        <v>1180</v>
      </c>
    </row>
    <row r="309" spans="1:8" ht="28.8" x14ac:dyDescent="0.3">
      <c r="A309" s="2">
        <v>6</v>
      </c>
      <c r="C309" s="1" t="s">
        <v>300</v>
      </c>
      <c r="E309" t="s">
        <v>11</v>
      </c>
      <c r="F309" s="3">
        <v>1</v>
      </c>
      <c r="G309" s="4">
        <f>(730+450)</f>
        <v>1180</v>
      </c>
      <c r="H309" s="4">
        <f>ROUND(F309*G309,2)</f>
        <v>1180</v>
      </c>
    </row>
    <row r="311" spans="1:8" x14ac:dyDescent="0.3">
      <c r="C311" s="6" t="s">
        <v>290</v>
      </c>
      <c r="F311"/>
    </row>
    <row r="313" spans="1:8" x14ac:dyDescent="0.3">
      <c r="A313" s="2">
        <v>7</v>
      </c>
      <c r="C313" s="1" t="s">
        <v>301</v>
      </c>
      <c r="E313" t="s">
        <v>11</v>
      </c>
      <c r="F313" s="3">
        <v>1</v>
      </c>
      <c r="G313" s="4">
        <f>2500+1500</f>
        <v>4000</v>
      </c>
      <c r="H313" s="4">
        <f>ROUND(F313*G313,2)</f>
        <v>4000</v>
      </c>
    </row>
    <row r="315" spans="1:8" x14ac:dyDescent="0.3">
      <c r="C315" s="6" t="s">
        <v>118</v>
      </c>
      <c r="F315"/>
    </row>
    <row r="317" spans="1:8" ht="28.8" x14ac:dyDescent="0.3">
      <c r="A317" s="2">
        <v>8</v>
      </c>
      <c r="C317" s="1" t="s">
        <v>254</v>
      </c>
      <c r="E317" t="s">
        <v>11</v>
      </c>
      <c r="F317" s="3">
        <v>6</v>
      </c>
      <c r="G317" s="4">
        <f>564.3+850</f>
        <v>1414.3</v>
      </c>
      <c r="H317" s="4">
        <f>ROUND(F317*G317,2)</f>
        <v>8485.7999999999993</v>
      </c>
    </row>
    <row r="319" spans="1:8" ht="28.8" x14ac:dyDescent="0.3">
      <c r="A319" s="2">
        <v>9</v>
      </c>
      <c r="C319" s="1" t="s">
        <v>255</v>
      </c>
      <c r="E319" t="s">
        <v>11</v>
      </c>
      <c r="F319" s="3">
        <v>1</v>
      </c>
      <c r="G319" s="4">
        <f>950+1250</f>
        <v>2200</v>
      </c>
      <c r="H319" s="4">
        <f>ROUND(F319*G319,2)</f>
        <v>2200</v>
      </c>
    </row>
    <row r="321" spans="1:9" x14ac:dyDescent="0.3">
      <c r="C321" s="6" t="s">
        <v>119</v>
      </c>
      <c r="F321"/>
    </row>
    <row r="323" spans="1:9" x14ac:dyDescent="0.3">
      <c r="A323" s="2">
        <v>10</v>
      </c>
      <c r="C323" s="1" t="s">
        <v>302</v>
      </c>
      <c r="E323" t="s">
        <v>14</v>
      </c>
      <c r="F323" s="3">
        <v>220</v>
      </c>
      <c r="G323" s="4">
        <f>45+35</f>
        <v>80</v>
      </c>
      <c r="H323" s="4">
        <f>ROUND(F323*G323,2)</f>
        <v>17600</v>
      </c>
    </row>
    <row r="325" spans="1:9" x14ac:dyDescent="0.3">
      <c r="A325" s="11"/>
      <c r="B325" s="12"/>
      <c r="C325" s="13" t="s">
        <v>236</v>
      </c>
      <c r="D325" s="12"/>
      <c r="E325" s="12"/>
      <c r="F325" s="14"/>
      <c r="G325" s="15"/>
      <c r="H325" s="16">
        <f>SUM(H297:H323)</f>
        <v>39365.800000000003</v>
      </c>
      <c r="I325" s="44"/>
    </row>
    <row r="327" spans="1:9" x14ac:dyDescent="0.3">
      <c r="C327" s="5" t="s">
        <v>120</v>
      </c>
      <c r="F327"/>
    </row>
    <row r="329" spans="1:9" x14ac:dyDescent="0.3">
      <c r="C329" s="5" t="s">
        <v>121</v>
      </c>
      <c r="F329"/>
    </row>
    <row r="331" spans="1:9" x14ac:dyDescent="0.3">
      <c r="C331" s="1" t="s">
        <v>26</v>
      </c>
      <c r="F331"/>
    </row>
    <row r="333" spans="1:9" x14ac:dyDescent="0.3">
      <c r="C333" s="5" t="s">
        <v>122</v>
      </c>
      <c r="F333"/>
    </row>
    <row r="335" spans="1:9" ht="28.8" x14ac:dyDescent="0.3">
      <c r="C335" s="6" t="s">
        <v>250</v>
      </c>
      <c r="F335"/>
    </row>
    <row r="337" spans="1:8" x14ac:dyDescent="0.3">
      <c r="A337" s="2">
        <v>1</v>
      </c>
      <c r="C337" s="1" t="s">
        <v>225</v>
      </c>
      <c r="E337" t="s">
        <v>218</v>
      </c>
      <c r="F337" s="3">
        <v>143</v>
      </c>
      <c r="G337" s="4">
        <v>305</v>
      </c>
      <c r="H337" s="4">
        <f>ROUND(F337*G337,2)</f>
        <v>43615</v>
      </c>
    </row>
    <row r="339" spans="1:8" x14ac:dyDescent="0.3">
      <c r="A339" s="2">
        <v>2</v>
      </c>
      <c r="C339" s="1" t="s">
        <v>123</v>
      </c>
      <c r="E339" t="s">
        <v>11</v>
      </c>
      <c r="F339" s="3">
        <v>2</v>
      </c>
      <c r="G339" s="4">
        <v>1550</v>
      </c>
      <c r="H339" s="4">
        <f>ROUND(F339*G339,2)</f>
        <v>3100</v>
      </c>
    </row>
    <row r="341" spans="1:8" x14ac:dyDescent="0.3">
      <c r="C341" s="5" t="s">
        <v>124</v>
      </c>
      <c r="F341"/>
    </row>
    <row r="343" spans="1:8" ht="28.8" x14ac:dyDescent="0.3">
      <c r="C343" s="6" t="s">
        <v>250</v>
      </c>
      <c r="F343"/>
    </row>
    <row r="345" spans="1:8" x14ac:dyDescent="0.3">
      <c r="A345" s="2">
        <v>3</v>
      </c>
      <c r="C345" s="1" t="s">
        <v>225</v>
      </c>
      <c r="E345" t="s">
        <v>218</v>
      </c>
      <c r="F345" s="3">
        <f>202*1.1</f>
        <v>222.20000000000002</v>
      </c>
      <c r="G345" s="4">
        <v>350</v>
      </c>
      <c r="H345" s="4">
        <f>ROUND(F345*G345,2)</f>
        <v>77770</v>
      </c>
    </row>
    <row r="347" spans="1:8" x14ac:dyDescent="0.3">
      <c r="C347" s="5" t="s">
        <v>125</v>
      </c>
      <c r="F347"/>
    </row>
    <row r="349" spans="1:8" x14ac:dyDescent="0.3">
      <c r="C349" s="6" t="s">
        <v>126</v>
      </c>
      <c r="F349"/>
    </row>
    <row r="351" spans="1:8" x14ac:dyDescent="0.3">
      <c r="A351" s="2">
        <v>4</v>
      </c>
      <c r="C351" s="1" t="s">
        <v>127</v>
      </c>
      <c r="E351" t="s">
        <v>218</v>
      </c>
      <c r="F351" s="3">
        <f>42*1.05</f>
        <v>44.1</v>
      </c>
      <c r="G351" s="4">
        <v>380</v>
      </c>
      <c r="H351" s="4">
        <f>ROUND(F351*G351,2)</f>
        <v>16758</v>
      </c>
    </row>
    <row r="353" spans="1:8" x14ac:dyDescent="0.3">
      <c r="C353" s="5" t="s">
        <v>128</v>
      </c>
      <c r="F353"/>
    </row>
    <row r="355" spans="1:8" x14ac:dyDescent="0.3">
      <c r="C355" s="6" t="s">
        <v>129</v>
      </c>
      <c r="F355"/>
    </row>
    <row r="357" spans="1:8" x14ac:dyDescent="0.3">
      <c r="A357" s="2">
        <v>5</v>
      </c>
      <c r="C357" s="1" t="s">
        <v>311</v>
      </c>
      <c r="E357" t="s">
        <v>14</v>
      </c>
      <c r="F357" s="3">
        <f>124+58+60</f>
        <v>242</v>
      </c>
      <c r="G357" s="4">
        <v>95</v>
      </c>
      <c r="H357" s="4">
        <f>ROUND(F357*G357,2)</f>
        <v>22990</v>
      </c>
    </row>
    <row r="359" spans="1:8" x14ac:dyDescent="0.3">
      <c r="A359" s="2">
        <v>6</v>
      </c>
      <c r="C359" s="1" t="s">
        <v>312</v>
      </c>
      <c r="E359" t="s">
        <v>14</v>
      </c>
      <c r="F359" s="3">
        <v>72</v>
      </c>
      <c r="G359" s="4">
        <v>55</v>
      </c>
      <c r="H359" s="4">
        <f>ROUND(F359*G359,2)</f>
        <v>3960</v>
      </c>
    </row>
    <row r="361" spans="1:8" x14ac:dyDescent="0.3">
      <c r="C361" s="6" t="s">
        <v>130</v>
      </c>
      <c r="F361"/>
    </row>
    <row r="363" spans="1:8" x14ac:dyDescent="0.3">
      <c r="A363" s="2">
        <v>7</v>
      </c>
      <c r="C363" s="1" t="s">
        <v>258</v>
      </c>
      <c r="E363" t="s">
        <v>218</v>
      </c>
      <c r="F363" s="3">
        <f>(F337+F345)*1.05</f>
        <v>383.46000000000004</v>
      </c>
      <c r="G363" s="4">
        <v>105</v>
      </c>
      <c r="H363" s="4">
        <f>ROUND(F363*G363,2)</f>
        <v>40263.300000000003</v>
      </c>
    </row>
    <row r="365" spans="1:8" x14ac:dyDescent="0.3">
      <c r="C365" s="5" t="s">
        <v>131</v>
      </c>
      <c r="F365"/>
    </row>
    <row r="367" spans="1:8" x14ac:dyDescent="0.3">
      <c r="C367" s="6" t="s">
        <v>132</v>
      </c>
      <c r="F367"/>
    </row>
    <row r="369" spans="1:9" ht="100.8" x14ac:dyDescent="0.3">
      <c r="C369" s="1" t="s">
        <v>133</v>
      </c>
      <c r="F369"/>
    </row>
    <row r="371" spans="1:9" x14ac:dyDescent="0.3">
      <c r="A371" s="2">
        <v>8</v>
      </c>
      <c r="C371" s="1" t="s">
        <v>134</v>
      </c>
      <c r="E371" t="s">
        <v>14</v>
      </c>
      <c r="F371" s="3">
        <v>4</v>
      </c>
      <c r="G371" s="4">
        <f>1441.65+300</f>
        <v>1741.65</v>
      </c>
      <c r="H371" s="4">
        <f>ROUND(F371*G371,2)</f>
        <v>6966.6</v>
      </c>
    </row>
    <row r="373" spans="1:9" x14ac:dyDescent="0.3">
      <c r="A373" s="11"/>
      <c r="B373" s="12"/>
      <c r="C373" s="13" t="s">
        <v>237</v>
      </c>
      <c r="D373" s="12"/>
      <c r="E373" s="12"/>
      <c r="F373" s="14"/>
      <c r="G373" s="15"/>
      <c r="H373" s="16">
        <f>SUM(H336:H372)</f>
        <v>215422.9</v>
      </c>
      <c r="I373" s="44"/>
    </row>
    <row r="375" spans="1:9" x14ac:dyDescent="0.3">
      <c r="C375" s="5" t="s">
        <v>135</v>
      </c>
      <c r="F375"/>
    </row>
    <row r="377" spans="1:9" x14ac:dyDescent="0.3">
      <c r="C377" s="5" t="s">
        <v>136</v>
      </c>
      <c r="F377"/>
    </row>
    <row r="379" spans="1:9" x14ac:dyDescent="0.3">
      <c r="C379" s="6" t="s">
        <v>332</v>
      </c>
      <c r="F379"/>
    </row>
    <row r="381" spans="1:9" x14ac:dyDescent="0.3">
      <c r="A381" s="2">
        <v>1</v>
      </c>
      <c r="C381" s="1" t="s">
        <v>137</v>
      </c>
      <c r="E381" t="s">
        <v>218</v>
      </c>
      <c r="F381" s="3">
        <v>261</v>
      </c>
      <c r="G381" s="4">
        <f>98000/261</f>
        <v>375.47892720306515</v>
      </c>
      <c r="H381" s="4">
        <f>ROUND(F381*G381,2)</f>
        <v>98000</v>
      </c>
    </row>
    <row r="382" spans="1:9" x14ac:dyDescent="0.3">
      <c r="A382" s="11"/>
      <c r="B382" s="12"/>
      <c r="C382" s="13" t="s">
        <v>238</v>
      </c>
      <c r="D382" s="12"/>
      <c r="E382" s="12"/>
      <c r="F382" s="14"/>
      <c r="G382" s="15"/>
      <c r="H382" s="16">
        <f>SUM(H378:H381)</f>
        <v>98000</v>
      </c>
      <c r="I382" s="44"/>
    </row>
    <row r="384" spans="1:9" x14ac:dyDescent="0.3">
      <c r="C384" s="5" t="s">
        <v>138</v>
      </c>
      <c r="F384"/>
    </row>
    <row r="386" spans="1:8" x14ac:dyDescent="0.3">
      <c r="C386" s="5" t="s">
        <v>139</v>
      </c>
      <c r="F386"/>
    </row>
    <row r="388" spans="1:8" x14ac:dyDescent="0.3">
      <c r="C388" s="1" t="s">
        <v>26</v>
      </c>
      <c r="F388"/>
    </row>
    <row r="390" spans="1:8" x14ac:dyDescent="0.3">
      <c r="C390" s="5" t="s">
        <v>140</v>
      </c>
      <c r="F390"/>
    </row>
    <row r="392" spans="1:8" x14ac:dyDescent="0.3">
      <c r="C392" s="5" t="s">
        <v>141</v>
      </c>
      <c r="F392"/>
    </row>
    <row r="394" spans="1:8" x14ac:dyDescent="0.3">
      <c r="C394" s="6" t="s">
        <v>142</v>
      </c>
      <c r="F394"/>
    </row>
    <row r="396" spans="1:8" x14ac:dyDescent="0.3">
      <c r="A396" s="2">
        <v>1</v>
      </c>
      <c r="C396" s="1" t="s">
        <v>143</v>
      </c>
      <c r="E396" t="s">
        <v>218</v>
      </c>
      <c r="F396" s="3">
        <f>(14+21)*3*2+(31*3)+(59*4.5)+(3*2.9)+(3*4.5)+(40*0.3)+(15+34)</f>
        <v>651.70000000000005</v>
      </c>
      <c r="G396" s="4">
        <v>100</v>
      </c>
      <c r="H396" s="4">
        <f>ROUND(F396*G396,2)</f>
        <v>65170</v>
      </c>
    </row>
    <row r="398" spans="1:8" x14ac:dyDescent="0.3">
      <c r="A398" s="2">
        <v>2</v>
      </c>
      <c r="C398" s="1" t="s">
        <v>145</v>
      </c>
      <c r="E398" t="s">
        <v>218</v>
      </c>
      <c r="F398" s="3">
        <f>F396*0.1</f>
        <v>65.17</v>
      </c>
      <c r="G398" s="4">
        <v>150</v>
      </c>
      <c r="H398" s="4">
        <f>ROUND(F398*G398,2)</f>
        <v>9775.5</v>
      </c>
    </row>
    <row r="401" spans="1:8" x14ac:dyDescent="0.3">
      <c r="C401" s="5" t="s">
        <v>144</v>
      </c>
      <c r="F401"/>
    </row>
    <row r="403" spans="1:8" x14ac:dyDescent="0.3">
      <c r="C403" s="6" t="s">
        <v>142</v>
      </c>
      <c r="F403"/>
    </row>
    <row r="405" spans="1:8" x14ac:dyDescent="0.3">
      <c r="A405" s="2">
        <v>3</v>
      </c>
      <c r="C405" s="1" t="s">
        <v>143</v>
      </c>
      <c r="E405" t="s">
        <v>218</v>
      </c>
      <c r="F405" s="3">
        <f>(31*3)+(59*4.5)+(3*2.9)+(3*4.5)+(40*0.3)+(15+34)</f>
        <v>441.7</v>
      </c>
      <c r="G405" s="4">
        <v>100</v>
      </c>
      <c r="H405" s="4">
        <f>ROUND(F405*G405,2)</f>
        <v>44170</v>
      </c>
    </row>
    <row r="407" spans="1:8" x14ac:dyDescent="0.3">
      <c r="A407" s="2">
        <v>4</v>
      </c>
      <c r="C407" s="1" t="s">
        <v>315</v>
      </c>
      <c r="E407" t="s">
        <v>218</v>
      </c>
      <c r="F407" s="3">
        <f>85*3+(54)</f>
        <v>309</v>
      </c>
      <c r="G407" s="4">
        <v>100</v>
      </c>
      <c r="H407" s="4">
        <f>ROUND(F407*G407,2)</f>
        <v>30900</v>
      </c>
    </row>
    <row r="409" spans="1:8" x14ac:dyDescent="0.3">
      <c r="A409" s="2">
        <v>5</v>
      </c>
      <c r="C409" s="1" t="s">
        <v>145</v>
      </c>
      <c r="E409" t="s">
        <v>218</v>
      </c>
      <c r="F409" s="3">
        <f>F405*0.1</f>
        <v>44.17</v>
      </c>
      <c r="G409" s="4">
        <v>150</v>
      </c>
      <c r="H409" s="4">
        <f>ROUND(F409*G409,2)</f>
        <v>6625.5</v>
      </c>
    </row>
    <row r="411" spans="1:8" x14ac:dyDescent="0.3">
      <c r="C411" s="6" t="s">
        <v>260</v>
      </c>
      <c r="F411"/>
    </row>
    <row r="413" spans="1:8" x14ac:dyDescent="0.3">
      <c r="A413" s="2">
        <v>6</v>
      </c>
      <c r="C413" s="1" t="s">
        <v>261</v>
      </c>
      <c r="E413" t="s">
        <v>218</v>
      </c>
      <c r="F413" s="3">
        <v>7</v>
      </c>
      <c r="G413" s="4">
        <v>250</v>
      </c>
      <c r="H413" s="4">
        <f>ROUND(F413*G413,2)</f>
        <v>1750</v>
      </c>
    </row>
    <row r="415" spans="1:8" x14ac:dyDescent="0.3">
      <c r="C415" s="5" t="s">
        <v>226</v>
      </c>
      <c r="F415"/>
    </row>
    <row r="417" spans="1:9" x14ac:dyDescent="0.3">
      <c r="C417" s="6" t="s">
        <v>146</v>
      </c>
      <c r="F417"/>
    </row>
    <row r="419" spans="1:9" x14ac:dyDescent="0.3">
      <c r="A419" s="2">
        <v>7</v>
      </c>
      <c r="C419" s="1" t="s">
        <v>67</v>
      </c>
      <c r="E419" t="s">
        <v>218</v>
      </c>
      <c r="F419" s="3">
        <v>68</v>
      </c>
      <c r="G419" s="4">
        <v>150</v>
      </c>
      <c r="H419" s="4">
        <f>ROUND(F419*G419,2)</f>
        <v>10200</v>
      </c>
    </row>
    <row r="421" spans="1:9" x14ac:dyDescent="0.3">
      <c r="A421" s="2">
        <v>8</v>
      </c>
      <c r="C421" s="1" t="s">
        <v>313</v>
      </c>
      <c r="E421" t="s">
        <v>218</v>
      </c>
      <c r="F421" s="3">
        <f>46+(2*0.75*2)</f>
        <v>49</v>
      </c>
      <c r="G421" s="4">
        <v>150</v>
      </c>
      <c r="H421" s="4">
        <f>ROUND(F421*G421,2)</f>
        <v>7350</v>
      </c>
    </row>
    <row r="423" spans="1:9" x14ac:dyDescent="0.3">
      <c r="A423" s="2">
        <v>9</v>
      </c>
      <c r="C423" s="1" t="s">
        <v>147</v>
      </c>
      <c r="E423" t="s">
        <v>218</v>
      </c>
      <c r="F423" s="3">
        <v>93</v>
      </c>
      <c r="G423" s="4">
        <v>100</v>
      </c>
      <c r="H423" s="4">
        <f>ROUND(F423*G423,2)</f>
        <v>9300</v>
      </c>
    </row>
    <row r="425" spans="1:9" x14ac:dyDescent="0.3">
      <c r="C425" s="5" t="s">
        <v>148</v>
      </c>
      <c r="F425"/>
    </row>
    <row r="427" spans="1:9" x14ac:dyDescent="0.3">
      <c r="C427" s="6" t="s">
        <v>149</v>
      </c>
      <c r="F427"/>
    </row>
    <row r="429" spans="1:9" x14ac:dyDescent="0.3">
      <c r="A429" s="2">
        <v>10</v>
      </c>
      <c r="C429" s="1" t="s">
        <v>314</v>
      </c>
      <c r="E429" t="s">
        <v>218</v>
      </c>
      <c r="F429" s="3">
        <f>261+87+93</f>
        <v>441</v>
      </c>
      <c r="G429" s="4">
        <v>130</v>
      </c>
      <c r="H429" s="4">
        <f>ROUND(F429*G429,2)</f>
        <v>57330</v>
      </c>
    </row>
    <row r="431" spans="1:9" x14ac:dyDescent="0.3">
      <c r="A431" s="2">
        <v>11</v>
      </c>
      <c r="C431" s="1" t="s">
        <v>333</v>
      </c>
      <c r="E431" t="s">
        <v>218</v>
      </c>
      <c r="F431" s="3">
        <v>87</v>
      </c>
      <c r="G431" s="4">
        <f>580</f>
        <v>580</v>
      </c>
      <c r="H431" s="4">
        <f>ROUND(F431*G431,2)</f>
        <v>50460</v>
      </c>
    </row>
    <row r="432" spans="1:9" x14ac:dyDescent="0.3">
      <c r="A432" s="11"/>
      <c r="B432" s="12"/>
      <c r="C432" s="13" t="s">
        <v>239</v>
      </c>
      <c r="D432" s="12"/>
      <c r="E432" s="12"/>
      <c r="F432" s="14"/>
      <c r="G432" s="15"/>
      <c r="H432" s="16">
        <f>SUM(H392:H431)</f>
        <v>293031</v>
      </c>
      <c r="I432" s="44"/>
    </row>
    <row r="434" spans="1:9" x14ac:dyDescent="0.3">
      <c r="C434" s="5" t="s">
        <v>150</v>
      </c>
      <c r="F434"/>
    </row>
    <row r="436" spans="1:9" x14ac:dyDescent="0.3">
      <c r="C436" s="5" t="s">
        <v>151</v>
      </c>
      <c r="F436"/>
    </row>
    <row r="438" spans="1:9" x14ac:dyDescent="0.3">
      <c r="C438" s="1" t="s">
        <v>26</v>
      </c>
      <c r="F438"/>
    </row>
    <row r="440" spans="1:9" x14ac:dyDescent="0.3">
      <c r="C440" s="5" t="s">
        <v>152</v>
      </c>
      <c r="F440"/>
    </row>
    <row r="442" spans="1:9" ht="43.2" x14ac:dyDescent="0.3">
      <c r="C442" s="6" t="s">
        <v>153</v>
      </c>
      <c r="F442"/>
    </row>
    <row r="444" spans="1:9" x14ac:dyDescent="0.3">
      <c r="A444" s="2">
        <v>1</v>
      </c>
      <c r="C444" s="1" t="s">
        <v>137</v>
      </c>
      <c r="E444" t="s">
        <v>218</v>
      </c>
      <c r="F444" s="3">
        <v>73</v>
      </c>
      <c r="G444" s="4">
        <f>250+310</f>
        <v>560</v>
      </c>
      <c r="H444" s="4">
        <f>F444*G444</f>
        <v>40880</v>
      </c>
    </row>
    <row r="446" spans="1:9" x14ac:dyDescent="0.3">
      <c r="A446" s="11"/>
      <c r="B446" s="12"/>
      <c r="C446" s="13" t="s">
        <v>291</v>
      </c>
      <c r="D446" s="12"/>
      <c r="E446" s="12"/>
      <c r="F446" s="14"/>
      <c r="G446" s="15"/>
      <c r="H446" s="16">
        <f>SUM(H438:H445)</f>
        <v>40880</v>
      </c>
      <c r="I446" s="44"/>
    </row>
    <row r="448" spans="1:9" x14ac:dyDescent="0.3">
      <c r="C448" s="5" t="s">
        <v>154</v>
      </c>
      <c r="F448"/>
    </row>
    <row r="450" spans="1:8" x14ac:dyDescent="0.3">
      <c r="C450" s="5" t="s">
        <v>155</v>
      </c>
      <c r="F450"/>
    </row>
    <row r="452" spans="1:8" x14ac:dyDescent="0.3">
      <c r="C452" s="1" t="s">
        <v>26</v>
      </c>
      <c r="F452"/>
    </row>
    <row r="454" spans="1:8" ht="57.6" x14ac:dyDescent="0.3">
      <c r="C454" s="1" t="s">
        <v>156</v>
      </c>
      <c r="F454"/>
    </row>
    <row r="456" spans="1:8" ht="43.2" x14ac:dyDescent="0.3">
      <c r="C456" s="5" t="s">
        <v>227</v>
      </c>
      <c r="F456"/>
    </row>
    <row r="458" spans="1:8" x14ac:dyDescent="0.3">
      <c r="C458" s="6" t="s">
        <v>157</v>
      </c>
      <c r="F458"/>
    </row>
    <row r="460" spans="1:8" ht="28.8" x14ac:dyDescent="0.3">
      <c r="A460" s="2">
        <v>1</v>
      </c>
      <c r="C460" s="1" t="s">
        <v>158</v>
      </c>
      <c r="E460" t="s">
        <v>11</v>
      </c>
      <c r="F460" s="3">
        <v>1</v>
      </c>
      <c r="G460" s="4">
        <f>4150</f>
        <v>4150</v>
      </c>
      <c r="H460" s="4">
        <f>ROUND(F460*G460,2)</f>
        <v>4150</v>
      </c>
    </row>
    <row r="462" spans="1:8" x14ac:dyDescent="0.3">
      <c r="C462" s="6" t="s">
        <v>159</v>
      </c>
      <c r="F462"/>
    </row>
    <row r="464" spans="1:8" ht="28.8" x14ac:dyDescent="0.3">
      <c r="A464" s="2">
        <v>2</v>
      </c>
      <c r="C464" s="1" t="s">
        <v>158</v>
      </c>
      <c r="E464" t="s">
        <v>11</v>
      </c>
      <c r="F464" s="3">
        <v>1</v>
      </c>
      <c r="G464" s="4">
        <v>4350</v>
      </c>
      <c r="H464" s="4">
        <f>ROUND(F464*G464,2)</f>
        <v>4350</v>
      </c>
    </row>
    <row r="466" spans="1:8" x14ac:dyDescent="0.3">
      <c r="C466" s="6" t="s">
        <v>267</v>
      </c>
      <c r="F466"/>
    </row>
    <row r="468" spans="1:8" ht="28.8" x14ac:dyDescent="0.3">
      <c r="A468" s="2">
        <v>3</v>
      </c>
      <c r="C468" s="1" t="s">
        <v>158</v>
      </c>
      <c r="E468" t="s">
        <v>11</v>
      </c>
      <c r="F468" s="3">
        <v>1</v>
      </c>
      <c r="G468" s="4">
        <v>4150</v>
      </c>
      <c r="H468" s="4">
        <f>ROUND(F468*G468,2)</f>
        <v>4150</v>
      </c>
    </row>
    <row r="470" spans="1:8" x14ac:dyDescent="0.3">
      <c r="C470" s="6" t="s">
        <v>268</v>
      </c>
      <c r="F470"/>
    </row>
    <row r="472" spans="1:8" ht="28.8" x14ac:dyDescent="0.3">
      <c r="A472" s="2">
        <v>4</v>
      </c>
      <c r="C472" s="1" t="s">
        <v>158</v>
      </c>
      <c r="E472" t="s">
        <v>11</v>
      </c>
      <c r="F472" s="3">
        <v>1</v>
      </c>
      <c r="G472" s="4">
        <v>4150</v>
      </c>
      <c r="H472" s="4">
        <f>ROUND(F472*G472,2)</f>
        <v>4150</v>
      </c>
    </row>
    <row r="474" spans="1:8" x14ac:dyDescent="0.3">
      <c r="C474" s="6" t="s">
        <v>293</v>
      </c>
      <c r="F474"/>
    </row>
    <row r="476" spans="1:8" ht="28.8" x14ac:dyDescent="0.3">
      <c r="A476" s="2">
        <v>4</v>
      </c>
      <c r="C476" s="1" t="s">
        <v>158</v>
      </c>
      <c r="E476" t="s">
        <v>11</v>
      </c>
      <c r="F476" s="3">
        <v>1</v>
      </c>
      <c r="G476" s="4">
        <v>4150</v>
      </c>
      <c r="H476" s="4">
        <f>ROUND(F476*G476,2)</f>
        <v>4150</v>
      </c>
    </row>
    <row r="478" spans="1:8" x14ac:dyDescent="0.3">
      <c r="A478" s="2">
        <v>5</v>
      </c>
      <c r="C478" s="1" t="s">
        <v>294</v>
      </c>
      <c r="E478" t="s">
        <v>6</v>
      </c>
      <c r="F478" s="3">
        <v>1</v>
      </c>
      <c r="G478" s="4">
        <f>15000+8000+7500</f>
        <v>30500</v>
      </c>
      <c r="H478" s="4">
        <f>ROUND(F478*G478,2)</f>
        <v>30500</v>
      </c>
    </row>
    <row r="483" spans="1:9" x14ac:dyDescent="0.3">
      <c r="A483" s="11"/>
      <c r="B483" s="12"/>
      <c r="C483" s="13" t="s">
        <v>240</v>
      </c>
      <c r="D483" s="12"/>
      <c r="E483" s="12"/>
      <c r="F483" s="14"/>
      <c r="G483" s="15"/>
      <c r="H483" s="16">
        <f>SUM(H458:H482)</f>
        <v>51450</v>
      </c>
      <c r="I483" s="44"/>
    </row>
    <row r="485" spans="1:9" x14ac:dyDescent="0.3">
      <c r="C485" s="5" t="s">
        <v>160</v>
      </c>
      <c r="F485"/>
    </row>
    <row r="487" spans="1:9" x14ac:dyDescent="0.3">
      <c r="C487" s="5" t="s">
        <v>161</v>
      </c>
      <c r="F487"/>
    </row>
    <row r="489" spans="1:9" x14ac:dyDescent="0.3">
      <c r="C489" s="1" t="s">
        <v>26</v>
      </c>
      <c r="F489"/>
    </row>
    <row r="491" spans="1:9" x14ac:dyDescent="0.3">
      <c r="C491" s="5" t="s">
        <v>162</v>
      </c>
      <c r="F491"/>
    </row>
    <row r="493" spans="1:9" ht="43.2" x14ac:dyDescent="0.3">
      <c r="C493" s="6" t="s">
        <v>163</v>
      </c>
      <c r="F493"/>
    </row>
    <row r="495" spans="1:9" x14ac:dyDescent="0.3">
      <c r="A495" s="2">
        <v>1</v>
      </c>
      <c r="C495" s="1" t="s">
        <v>164</v>
      </c>
      <c r="E495" t="s">
        <v>218</v>
      </c>
      <c r="F495" s="3">
        <f>F396</f>
        <v>651.70000000000005</v>
      </c>
      <c r="G495" s="4">
        <v>80</v>
      </c>
      <c r="H495" s="4">
        <f>ROUND(F495*G495,2)</f>
        <v>52136</v>
      </c>
    </row>
    <row r="497" spans="1:8" x14ac:dyDescent="0.3">
      <c r="A497" s="2">
        <v>2</v>
      </c>
      <c r="C497" s="1" t="s">
        <v>145</v>
      </c>
      <c r="E497" t="s">
        <v>218</v>
      </c>
      <c r="F497" s="3">
        <f>F398</f>
        <v>65.17</v>
      </c>
      <c r="G497" s="4">
        <v>150</v>
      </c>
      <c r="H497" s="4">
        <f>ROUND(F497*G497,2)</f>
        <v>9775.5</v>
      </c>
    </row>
    <row r="499" spans="1:8" x14ac:dyDescent="0.3">
      <c r="C499" s="5" t="s">
        <v>165</v>
      </c>
      <c r="F499"/>
    </row>
    <row r="501" spans="1:8" ht="43.2" x14ac:dyDescent="0.3">
      <c r="C501" s="6" t="s">
        <v>163</v>
      </c>
      <c r="F501"/>
    </row>
    <row r="503" spans="1:8" x14ac:dyDescent="0.3">
      <c r="A503" s="2">
        <v>3</v>
      </c>
      <c r="C503" s="1" t="s">
        <v>67</v>
      </c>
      <c r="E503" t="s">
        <v>218</v>
      </c>
      <c r="F503" s="3">
        <v>68</v>
      </c>
      <c r="G503" s="4">
        <v>80</v>
      </c>
      <c r="H503" s="4">
        <f>ROUND(F503*G503,2)</f>
        <v>5440</v>
      </c>
    </row>
    <row r="505" spans="1:8" x14ac:dyDescent="0.3">
      <c r="A505" s="2">
        <v>4</v>
      </c>
      <c r="C505" s="1" t="s">
        <v>263</v>
      </c>
      <c r="E505" t="s">
        <v>218</v>
      </c>
      <c r="F505" s="3">
        <v>46</v>
      </c>
      <c r="G505" s="4">
        <v>80</v>
      </c>
      <c r="H505" s="4">
        <f>ROUND(F505*G505,2)</f>
        <v>3680</v>
      </c>
    </row>
    <row r="507" spans="1:8" x14ac:dyDescent="0.3">
      <c r="A507" s="2">
        <v>5</v>
      </c>
      <c r="C507" s="1" t="s">
        <v>166</v>
      </c>
      <c r="E507" t="s">
        <v>218</v>
      </c>
      <c r="F507" s="3">
        <v>93</v>
      </c>
      <c r="G507" s="4">
        <v>80</v>
      </c>
      <c r="H507" s="4">
        <f>ROUND(F507*G507,2)</f>
        <v>7440</v>
      </c>
    </row>
    <row r="509" spans="1:8" ht="43.2" x14ac:dyDescent="0.3">
      <c r="C509" s="6" t="s">
        <v>163</v>
      </c>
      <c r="F509"/>
    </row>
    <row r="511" spans="1:8" x14ac:dyDescent="0.3">
      <c r="A511" s="2">
        <v>5</v>
      </c>
      <c r="C511" s="1" t="s">
        <v>167</v>
      </c>
      <c r="E511" t="s">
        <v>218</v>
      </c>
      <c r="F511" s="3">
        <f>F405+F407+F413</f>
        <v>757.7</v>
      </c>
      <c r="G511" s="4">
        <v>80</v>
      </c>
      <c r="H511" s="4">
        <f>ROUND(F511*G511,2)</f>
        <v>60616</v>
      </c>
    </row>
    <row r="513" spans="1:8" x14ac:dyDescent="0.3">
      <c r="A513" s="2">
        <v>6</v>
      </c>
      <c r="C513" s="1" t="s">
        <v>145</v>
      </c>
      <c r="E513" t="s">
        <v>218</v>
      </c>
      <c r="F513" s="3">
        <f>F409</f>
        <v>44.17</v>
      </c>
      <c r="G513" s="4">
        <v>80</v>
      </c>
      <c r="H513" s="4">
        <f>ROUND(F513*G513,2)</f>
        <v>3533.6</v>
      </c>
    </row>
    <row r="515" spans="1:8" x14ac:dyDescent="0.3">
      <c r="C515" s="5" t="s">
        <v>168</v>
      </c>
      <c r="F515"/>
    </row>
    <row r="517" spans="1:8" ht="28.8" x14ac:dyDescent="0.3">
      <c r="C517" s="6" t="s">
        <v>169</v>
      </c>
      <c r="F517"/>
    </row>
    <row r="519" spans="1:8" x14ac:dyDescent="0.3">
      <c r="A519" s="2">
        <v>7</v>
      </c>
      <c r="C519" s="1" t="s">
        <v>170</v>
      </c>
      <c r="E519" t="s">
        <v>218</v>
      </c>
      <c r="F519" s="3">
        <v>34</v>
      </c>
      <c r="G519" s="4">
        <v>120</v>
      </c>
      <c r="H519" s="4">
        <f>ROUND(F519*G519,2)</f>
        <v>4080</v>
      </c>
    </row>
    <row r="521" spans="1:8" x14ac:dyDescent="0.3">
      <c r="A521" s="2">
        <v>8</v>
      </c>
      <c r="C521" s="1" t="s">
        <v>171</v>
      </c>
      <c r="E521" t="s">
        <v>218</v>
      </c>
      <c r="F521" s="3">
        <v>4</v>
      </c>
      <c r="G521" s="4">
        <v>100</v>
      </c>
      <c r="H521" s="4">
        <f>ROUND(F521*G521,2)</f>
        <v>400</v>
      </c>
    </row>
    <row r="523" spans="1:8" x14ac:dyDescent="0.3">
      <c r="A523" s="2">
        <v>9</v>
      </c>
      <c r="C523" s="1" t="s">
        <v>172</v>
      </c>
      <c r="E523" t="s">
        <v>14</v>
      </c>
      <c r="F523" s="3">
        <v>220</v>
      </c>
      <c r="G523" s="4">
        <v>25</v>
      </c>
      <c r="H523" s="4">
        <f>ROUND(F523*G523,2)</f>
        <v>5500</v>
      </c>
    </row>
    <row r="525" spans="1:8" x14ac:dyDescent="0.3">
      <c r="C525" s="5" t="s">
        <v>173</v>
      </c>
      <c r="F525"/>
    </row>
    <row r="527" spans="1:8" ht="28.8" x14ac:dyDescent="0.3">
      <c r="C527" s="6" t="s">
        <v>174</v>
      </c>
      <c r="F527"/>
    </row>
    <row r="529" spans="1:9" x14ac:dyDescent="0.3">
      <c r="A529" s="2">
        <v>10</v>
      </c>
      <c r="C529" s="1" t="s">
        <v>175</v>
      </c>
      <c r="E529" t="s">
        <v>218</v>
      </c>
      <c r="F529" s="3">
        <f>F337+F345</f>
        <v>365.20000000000005</v>
      </c>
      <c r="G529" s="4">
        <v>80</v>
      </c>
      <c r="H529" s="4">
        <f>ROUND(F529*G529,2)</f>
        <v>29216</v>
      </c>
    </row>
    <row r="531" spans="1:9" x14ac:dyDescent="0.3">
      <c r="A531" s="2">
        <v>11</v>
      </c>
      <c r="C531" s="1" t="s">
        <v>316</v>
      </c>
      <c r="E531" t="s">
        <v>218</v>
      </c>
      <c r="F531" s="3">
        <f>F351</f>
        <v>44.1</v>
      </c>
      <c r="G531" s="4">
        <v>120</v>
      </c>
      <c r="H531" s="4">
        <f>ROUND(F531*G531,2)</f>
        <v>5292</v>
      </c>
    </row>
    <row r="533" spans="1:9" x14ac:dyDescent="0.3">
      <c r="A533" s="2">
        <v>12</v>
      </c>
      <c r="C533" s="1" t="s">
        <v>176</v>
      </c>
      <c r="E533" t="s">
        <v>218</v>
      </c>
      <c r="F533" s="3">
        <v>4</v>
      </c>
      <c r="G533" s="4">
        <v>80</v>
      </c>
      <c r="H533" s="4">
        <f>ROUND(F533*G533,2)</f>
        <v>320</v>
      </c>
    </row>
    <row r="534" spans="1:9" x14ac:dyDescent="0.3">
      <c r="A534" s="11"/>
      <c r="B534" s="12"/>
      <c r="C534" s="13" t="s">
        <v>241</v>
      </c>
      <c r="D534" s="12"/>
      <c r="E534" s="12"/>
      <c r="F534" s="14"/>
      <c r="G534" s="15"/>
      <c r="H534" s="16">
        <f>SUM(H494:H533)</f>
        <v>187429.1</v>
      </c>
      <c r="I534" s="44"/>
    </row>
    <row r="536" spans="1:9" x14ac:dyDescent="0.3">
      <c r="C536" s="5" t="s">
        <v>228</v>
      </c>
    </row>
    <row r="538" spans="1:9" x14ac:dyDescent="0.3">
      <c r="C538" s="5" t="s">
        <v>335</v>
      </c>
    </row>
    <row r="540" spans="1:9" x14ac:dyDescent="0.3">
      <c r="C540" s="5" t="s">
        <v>279</v>
      </c>
      <c r="F540"/>
    </row>
    <row r="542" spans="1:9" x14ac:dyDescent="0.3">
      <c r="A542" s="38" t="s">
        <v>329</v>
      </c>
      <c r="C542" s="1" t="s">
        <v>328</v>
      </c>
      <c r="E542" t="s">
        <v>6</v>
      </c>
      <c r="F542" s="3">
        <v>1</v>
      </c>
      <c r="G542" s="4">
        <f>287405</f>
        <v>287405</v>
      </c>
      <c r="H542" s="4">
        <f>ROUND(F542*G542,2)</f>
        <v>287405</v>
      </c>
    </row>
    <row r="544" spans="1:9" x14ac:dyDescent="0.3">
      <c r="A544" s="39" t="s">
        <v>330</v>
      </c>
      <c r="B544" s="17"/>
      <c r="C544" s="40" t="s">
        <v>331</v>
      </c>
      <c r="D544" s="17"/>
      <c r="E544" s="17" t="s">
        <v>6</v>
      </c>
      <c r="F544" s="41">
        <v>1</v>
      </c>
      <c r="G544" s="42">
        <f>46400</f>
        <v>46400</v>
      </c>
      <c r="H544" s="42">
        <f>ROUND(F544*G544,2)</f>
        <v>46400</v>
      </c>
      <c r="I544" s="42"/>
    </row>
    <row r="546" spans="1:8" x14ac:dyDescent="0.3">
      <c r="C546" s="5" t="s">
        <v>282</v>
      </c>
      <c r="F546"/>
    </row>
    <row r="548" spans="1:8" x14ac:dyDescent="0.3">
      <c r="A548" s="2">
        <v>2</v>
      </c>
      <c r="C548" s="1" t="s">
        <v>339</v>
      </c>
      <c r="E548" t="s">
        <v>6</v>
      </c>
      <c r="F548" s="3">
        <v>1</v>
      </c>
      <c r="G548" s="4">
        <f>73155+30500</f>
        <v>103655</v>
      </c>
      <c r="H548" s="4">
        <f>ROUND(F548*G548,2)</f>
        <v>103655</v>
      </c>
    </row>
    <row r="551" spans="1:8" x14ac:dyDescent="0.3">
      <c r="C551" s="5" t="s">
        <v>181</v>
      </c>
      <c r="F551"/>
    </row>
    <row r="553" spans="1:8" x14ac:dyDescent="0.3">
      <c r="A553" s="2">
        <v>3</v>
      </c>
      <c r="C553" s="1" t="s">
        <v>340</v>
      </c>
      <c r="E553" t="s">
        <v>6</v>
      </c>
      <c r="F553" s="3">
        <v>1</v>
      </c>
      <c r="G553" s="4">
        <f>302123.93</f>
        <v>302123.93</v>
      </c>
      <c r="H553" s="4">
        <f>ROUND(F553*G553,2)</f>
        <v>302123.93</v>
      </c>
    </row>
    <row r="555" spans="1:8" x14ac:dyDescent="0.3">
      <c r="C555" s="5" t="s">
        <v>248</v>
      </c>
      <c r="F555"/>
    </row>
    <row r="557" spans="1:8" x14ac:dyDescent="0.3">
      <c r="A557" s="2">
        <v>4</v>
      </c>
      <c r="C557" s="1" t="s">
        <v>341</v>
      </c>
      <c r="E557" t="s">
        <v>6</v>
      </c>
      <c r="F557" s="3">
        <v>1</v>
      </c>
      <c r="G557" s="4">
        <f>405640.6+72050</f>
        <v>477690.6</v>
      </c>
      <c r="H557" s="4">
        <f>ROUND(F557*G557,2)</f>
        <v>477690.6</v>
      </c>
    </row>
    <row r="559" spans="1:8" x14ac:dyDescent="0.3">
      <c r="C559" s="5" t="s">
        <v>317</v>
      </c>
      <c r="F559"/>
    </row>
    <row r="561" spans="1:9" x14ac:dyDescent="0.3">
      <c r="A561" s="2">
        <v>5</v>
      </c>
      <c r="C561" s="1" t="s">
        <v>342</v>
      </c>
      <c r="E561" t="s">
        <v>6</v>
      </c>
      <c r="F561" s="3">
        <v>1</v>
      </c>
      <c r="G561" s="4">
        <f>42410.82-3900.22</f>
        <v>38510.6</v>
      </c>
      <c r="H561" s="4">
        <f>ROUND(F561*G561,2)</f>
        <v>38510.6</v>
      </c>
    </row>
    <row r="563" spans="1:9" x14ac:dyDescent="0.3">
      <c r="C563" s="5" t="s">
        <v>318</v>
      </c>
      <c r="F563"/>
    </row>
    <row r="565" spans="1:9" x14ac:dyDescent="0.3">
      <c r="A565" s="2">
        <v>6</v>
      </c>
      <c r="C565" s="1" t="s">
        <v>343</v>
      </c>
      <c r="E565" t="s">
        <v>6</v>
      </c>
      <c r="F565" s="3">
        <v>1</v>
      </c>
      <c r="G565" s="4">
        <f>1950.77*(2+7)</f>
        <v>17556.93</v>
      </c>
      <c r="H565" s="4">
        <f>ROUND(F565*G565,2)</f>
        <v>17556.93</v>
      </c>
      <c r="I565" s="4">
        <f>1950.77</f>
        <v>1950.77</v>
      </c>
    </row>
    <row r="567" spans="1:9" x14ac:dyDescent="0.3">
      <c r="C567" s="5" t="s">
        <v>249</v>
      </c>
      <c r="F567"/>
    </row>
    <row r="569" spans="1:9" x14ac:dyDescent="0.3">
      <c r="A569" s="2">
        <v>7</v>
      </c>
      <c r="C569" s="1" t="s">
        <v>344</v>
      </c>
      <c r="E569" t="s">
        <v>6</v>
      </c>
      <c r="F569" s="3">
        <v>1</v>
      </c>
      <c r="G569" s="4">
        <v>29700</v>
      </c>
      <c r="H569" s="4">
        <f>ROUND(F569*G569,2)</f>
        <v>29700</v>
      </c>
    </row>
    <row r="571" spans="1:9" x14ac:dyDescent="0.3">
      <c r="C571" s="5" t="s">
        <v>251</v>
      </c>
      <c r="F571"/>
    </row>
    <row r="573" spans="1:9" x14ac:dyDescent="0.3">
      <c r="A573" s="2">
        <v>8</v>
      </c>
      <c r="C573" s="1" t="s">
        <v>345</v>
      </c>
      <c r="E573" t="s">
        <v>6</v>
      </c>
      <c r="F573" s="3">
        <v>1</v>
      </c>
      <c r="G573" s="4">
        <f>28080+21060</f>
        <v>49140</v>
      </c>
      <c r="H573" s="4">
        <f>ROUND(F573*G573,2)</f>
        <v>49140</v>
      </c>
    </row>
    <row r="576" spans="1:9" x14ac:dyDescent="0.3">
      <c r="A576" s="11"/>
      <c r="B576" s="12"/>
      <c r="C576" s="13" t="s">
        <v>336</v>
      </c>
      <c r="D576" s="12"/>
      <c r="E576" s="12"/>
      <c r="F576" s="14"/>
      <c r="G576" s="15"/>
      <c r="H576" s="16">
        <f>SUM(H536:H575)</f>
        <v>1352182.0599999998</v>
      </c>
      <c r="I576" s="44"/>
    </row>
    <row r="578" spans="1:8" x14ac:dyDescent="0.3">
      <c r="C578" s="5" t="s">
        <v>334</v>
      </c>
      <c r="F578"/>
    </row>
    <row r="580" spans="1:8" x14ac:dyDescent="0.3">
      <c r="C580" s="5" t="s">
        <v>177</v>
      </c>
      <c r="F580"/>
    </row>
    <row r="583" spans="1:8" x14ac:dyDescent="0.3">
      <c r="C583" s="5" t="s">
        <v>178</v>
      </c>
      <c r="F583"/>
    </row>
    <row r="585" spans="1:8" x14ac:dyDescent="0.3">
      <c r="A585" s="2">
        <v>1</v>
      </c>
      <c r="C585" s="1" t="s">
        <v>280</v>
      </c>
      <c r="E585" t="s">
        <v>6</v>
      </c>
      <c r="F585" s="3">
        <v>1</v>
      </c>
      <c r="G585" s="37">
        <v>15000</v>
      </c>
      <c r="H585" s="4">
        <f>ROUND(F585*G585,2)</f>
        <v>15000</v>
      </c>
    </row>
    <row r="587" spans="1:8" x14ac:dyDescent="0.3">
      <c r="C587" s="5" t="s">
        <v>179</v>
      </c>
      <c r="F587"/>
    </row>
    <row r="589" spans="1:8" x14ac:dyDescent="0.3">
      <c r="A589" s="2">
        <v>2</v>
      </c>
      <c r="C589" s="1" t="s">
        <v>281</v>
      </c>
      <c r="E589" t="s">
        <v>6</v>
      </c>
      <c r="F589" s="3">
        <v>1</v>
      </c>
      <c r="G589" s="37">
        <v>25000</v>
      </c>
      <c r="H589" s="4">
        <f>ROUND(F589*G589,2)</f>
        <v>25000</v>
      </c>
    </row>
    <row r="592" spans="1:8" x14ac:dyDescent="0.3">
      <c r="C592" s="5" t="s">
        <v>180</v>
      </c>
      <c r="F592"/>
    </row>
    <row r="594" spans="1:8" x14ac:dyDescent="0.3">
      <c r="A594" s="2">
        <v>3</v>
      </c>
      <c r="C594" s="1" t="s">
        <v>326</v>
      </c>
      <c r="E594" t="s">
        <v>6</v>
      </c>
      <c r="F594" s="3">
        <v>1</v>
      </c>
      <c r="G594" s="37">
        <f>3000+3000+2000+2500+3500+4500+2500+5500+3500</f>
        <v>30000</v>
      </c>
      <c r="H594" s="4">
        <f>ROUND(F594*G594,2)</f>
        <v>30000</v>
      </c>
    </row>
    <row r="596" spans="1:8" x14ac:dyDescent="0.3">
      <c r="C596" s="5" t="s">
        <v>283</v>
      </c>
      <c r="F596"/>
    </row>
    <row r="598" spans="1:8" x14ac:dyDescent="0.3">
      <c r="A598" s="2">
        <v>4</v>
      </c>
      <c r="C598" s="1" t="s">
        <v>284</v>
      </c>
      <c r="E598" t="s">
        <v>6</v>
      </c>
      <c r="F598" s="3">
        <v>1</v>
      </c>
      <c r="G598" s="37">
        <v>5000</v>
      </c>
      <c r="H598" s="4">
        <f>ROUND(F598*G598,2)</f>
        <v>5000</v>
      </c>
    </row>
    <row r="601" spans="1:8" x14ac:dyDescent="0.3">
      <c r="C601" s="5" t="s">
        <v>182</v>
      </c>
      <c r="F601"/>
    </row>
    <row r="603" spans="1:8" x14ac:dyDescent="0.3">
      <c r="A603" s="2">
        <v>5</v>
      </c>
      <c r="C603" s="1" t="s">
        <v>327</v>
      </c>
      <c r="E603" t="s">
        <v>6</v>
      </c>
      <c r="F603" s="3">
        <v>1</v>
      </c>
      <c r="G603" s="37">
        <v>10000</v>
      </c>
      <c r="H603" s="4">
        <f>ROUND(F603*G603,2)</f>
        <v>10000</v>
      </c>
    </row>
    <row r="605" spans="1:8" x14ac:dyDescent="0.3">
      <c r="C605" s="5" t="s">
        <v>183</v>
      </c>
      <c r="F605"/>
    </row>
    <row r="607" spans="1:8" x14ac:dyDescent="0.3">
      <c r="A607" s="2">
        <v>6</v>
      </c>
      <c r="C607" s="1" t="s">
        <v>285</v>
      </c>
      <c r="E607" t="s">
        <v>6</v>
      </c>
      <c r="F607" s="3">
        <v>1</v>
      </c>
      <c r="G607" s="37">
        <v>15000</v>
      </c>
      <c r="H607" s="4">
        <f>ROUND(F607*G607,2)</f>
        <v>15000</v>
      </c>
    </row>
    <row r="610" spans="1:9" x14ac:dyDescent="0.3">
      <c r="C610" s="5" t="s">
        <v>253</v>
      </c>
      <c r="F610"/>
    </row>
    <row r="612" spans="1:9" ht="28.8" x14ac:dyDescent="0.3">
      <c r="A612" s="2">
        <v>7</v>
      </c>
      <c r="C612" s="1" t="s">
        <v>286</v>
      </c>
      <c r="E612" t="s">
        <v>6</v>
      </c>
      <c r="F612" s="3">
        <v>1</v>
      </c>
      <c r="G612" s="37">
        <v>5000</v>
      </c>
      <c r="H612" s="4">
        <f>ROUND(F612*G612,2)</f>
        <v>5000</v>
      </c>
    </row>
    <row r="614" spans="1:9" x14ac:dyDescent="0.3">
      <c r="C614" s="5" t="s">
        <v>262</v>
      </c>
      <c r="F614"/>
    </row>
    <row r="616" spans="1:9" x14ac:dyDescent="0.3">
      <c r="A616" s="2">
        <v>8</v>
      </c>
      <c r="C616" s="1" t="s">
        <v>346</v>
      </c>
      <c r="E616" t="s">
        <v>6</v>
      </c>
      <c r="F616" s="3">
        <v>1</v>
      </c>
      <c r="G616" s="37">
        <v>40000</v>
      </c>
      <c r="H616" s="4">
        <f>ROUND(F616*G616,2)</f>
        <v>40000</v>
      </c>
    </row>
    <row r="618" spans="1:9" x14ac:dyDescent="0.3">
      <c r="C618" s="5" t="s">
        <v>269</v>
      </c>
      <c r="F618"/>
    </row>
    <row r="620" spans="1:9" x14ac:dyDescent="0.3">
      <c r="A620" s="2">
        <v>9</v>
      </c>
      <c r="C620" s="1" t="s">
        <v>287</v>
      </c>
      <c r="E620" t="s">
        <v>6</v>
      </c>
      <c r="F620" s="3">
        <v>1</v>
      </c>
      <c r="G620" s="37">
        <v>30000</v>
      </c>
      <c r="H620" s="4">
        <f>ROUND(F620*G620,2)</f>
        <v>30000</v>
      </c>
    </row>
    <row r="621" spans="1:9" x14ac:dyDescent="0.3">
      <c r="C621" s="5"/>
      <c r="F621"/>
    </row>
    <row r="622" spans="1:9" x14ac:dyDescent="0.3">
      <c r="A622" s="11"/>
      <c r="B622" s="12"/>
      <c r="C622" s="13" t="s">
        <v>242</v>
      </c>
      <c r="D622" s="12"/>
      <c r="E622" s="12"/>
      <c r="F622" s="14"/>
      <c r="G622" s="15"/>
      <c r="H622" s="16">
        <f>SUM(H579:H621)</f>
        <v>175000</v>
      </c>
      <c r="I622" s="44"/>
    </row>
    <row r="624" spans="1:9" x14ac:dyDescent="0.3">
      <c r="A624" s="2">
        <v>1</v>
      </c>
      <c r="C624" s="1" t="s">
        <v>8</v>
      </c>
      <c r="H624" s="4">
        <f>H77</f>
        <v>173742.5</v>
      </c>
    </row>
    <row r="625" spans="1:8" x14ac:dyDescent="0.3">
      <c r="F625"/>
    </row>
    <row r="626" spans="1:8" x14ac:dyDescent="0.3">
      <c r="A626" s="2">
        <v>2</v>
      </c>
      <c r="C626" s="1" t="s">
        <v>184</v>
      </c>
      <c r="H626" s="4">
        <f>H140</f>
        <v>36922</v>
      </c>
    </row>
    <row r="627" spans="1:8" x14ac:dyDescent="0.3">
      <c r="F627"/>
    </row>
    <row r="628" spans="1:8" x14ac:dyDescent="0.3">
      <c r="A628" s="2">
        <v>3</v>
      </c>
      <c r="C628" s="1" t="s">
        <v>185</v>
      </c>
      <c r="H628" s="4">
        <f>H227</f>
        <v>345110.64</v>
      </c>
    </row>
    <row r="629" spans="1:8" x14ac:dyDescent="0.3">
      <c r="F629"/>
    </row>
    <row r="630" spans="1:8" x14ac:dyDescent="0.3">
      <c r="A630" s="2">
        <v>4</v>
      </c>
      <c r="C630" s="1" t="s">
        <v>94</v>
      </c>
      <c r="H630" s="4">
        <f>H268</f>
        <v>380507.8</v>
      </c>
    </row>
    <row r="631" spans="1:8" x14ac:dyDescent="0.3">
      <c r="F631"/>
    </row>
    <row r="632" spans="1:8" x14ac:dyDescent="0.3">
      <c r="A632" s="2">
        <v>5</v>
      </c>
      <c r="C632" s="1" t="s">
        <v>186</v>
      </c>
      <c r="H632" s="4">
        <f>H287</f>
        <v>7400</v>
      </c>
    </row>
    <row r="633" spans="1:8" x14ac:dyDescent="0.3">
      <c r="F633"/>
    </row>
    <row r="634" spans="1:8" x14ac:dyDescent="0.3">
      <c r="A634" s="2">
        <v>6</v>
      </c>
      <c r="C634" s="1" t="s">
        <v>116</v>
      </c>
      <c r="H634" s="4">
        <f>H325</f>
        <v>39365.800000000003</v>
      </c>
    </row>
    <row r="635" spans="1:8" x14ac:dyDescent="0.3">
      <c r="F635"/>
    </row>
    <row r="636" spans="1:8" x14ac:dyDescent="0.3">
      <c r="A636" s="2">
        <v>7</v>
      </c>
      <c r="C636" s="1" t="s">
        <v>187</v>
      </c>
      <c r="H636" s="4">
        <f>H373</f>
        <v>215422.9</v>
      </c>
    </row>
    <row r="637" spans="1:8" x14ac:dyDescent="0.3">
      <c r="F637"/>
    </row>
    <row r="638" spans="1:8" x14ac:dyDescent="0.3">
      <c r="A638" s="2">
        <v>8</v>
      </c>
      <c r="C638" s="1" t="s">
        <v>136</v>
      </c>
      <c r="H638" s="4">
        <f>H382</f>
        <v>98000</v>
      </c>
    </row>
    <row r="639" spans="1:8" x14ac:dyDescent="0.3">
      <c r="F639"/>
    </row>
    <row r="640" spans="1:8" x14ac:dyDescent="0.3">
      <c r="A640" s="2">
        <v>9</v>
      </c>
      <c r="C640" s="1" t="s">
        <v>188</v>
      </c>
      <c r="H640" s="4">
        <f>H432</f>
        <v>293031</v>
      </c>
    </row>
    <row r="641" spans="1:9" x14ac:dyDescent="0.3">
      <c r="F641"/>
    </row>
    <row r="642" spans="1:9" x14ac:dyDescent="0.3">
      <c r="A642" s="2">
        <v>10</v>
      </c>
      <c r="C642" s="1" t="s">
        <v>150</v>
      </c>
      <c r="H642" s="4">
        <f>H446</f>
        <v>40880</v>
      </c>
    </row>
    <row r="643" spans="1:9" x14ac:dyDescent="0.3">
      <c r="F643"/>
    </row>
    <row r="644" spans="1:9" x14ac:dyDescent="0.3">
      <c r="A644" s="2">
        <v>11</v>
      </c>
      <c r="C644" s="1" t="s">
        <v>189</v>
      </c>
      <c r="H644" s="4">
        <f>H483</f>
        <v>51450</v>
      </c>
    </row>
    <row r="645" spans="1:9" x14ac:dyDescent="0.3">
      <c r="F645"/>
    </row>
    <row r="646" spans="1:9" x14ac:dyDescent="0.3">
      <c r="A646" s="2">
        <v>12</v>
      </c>
      <c r="C646" s="1" t="s">
        <v>161</v>
      </c>
      <c r="H646" s="4">
        <f>H534</f>
        <v>187429.1</v>
      </c>
    </row>
    <row r="647" spans="1:9" x14ac:dyDescent="0.3">
      <c r="F647"/>
    </row>
    <row r="648" spans="1:9" x14ac:dyDescent="0.3">
      <c r="A648" s="2">
        <v>13</v>
      </c>
      <c r="C648" s="1" t="s">
        <v>335</v>
      </c>
      <c r="H648" s="4">
        <f>H576</f>
        <v>1352182.0599999998</v>
      </c>
    </row>
    <row r="649" spans="1:9" x14ac:dyDescent="0.3">
      <c r="F649"/>
    </row>
    <row r="650" spans="1:9" x14ac:dyDescent="0.3">
      <c r="A650" s="2">
        <v>14</v>
      </c>
      <c r="C650" s="1" t="s">
        <v>177</v>
      </c>
      <c r="H650" s="4">
        <f>H622</f>
        <v>175000</v>
      </c>
    </row>
    <row r="651" spans="1:9" x14ac:dyDescent="0.3">
      <c r="A651" s="11"/>
      <c r="B651" s="12"/>
      <c r="C651" s="32" t="s">
        <v>243</v>
      </c>
      <c r="D651" s="33"/>
      <c r="E651" s="33"/>
      <c r="F651" s="34"/>
      <c r="G651" s="35"/>
      <c r="H651" s="36">
        <f>SUM(H623:H650)</f>
        <v>3396443.8</v>
      </c>
      <c r="I651" s="45"/>
    </row>
    <row r="652" spans="1:9" x14ac:dyDescent="0.3">
      <c r="F652"/>
    </row>
    <row r="653" spans="1:9" x14ac:dyDescent="0.3">
      <c r="C653" s="5" t="s">
        <v>7</v>
      </c>
      <c r="F653"/>
    </row>
    <row r="655" spans="1:9" x14ac:dyDescent="0.3">
      <c r="C655" s="5" t="s">
        <v>190</v>
      </c>
      <c r="F655"/>
    </row>
    <row r="657" spans="1:8" x14ac:dyDescent="0.3">
      <c r="C657" s="1" t="s">
        <v>26</v>
      </c>
      <c r="F657"/>
    </row>
    <row r="659" spans="1:8" x14ac:dyDescent="0.3">
      <c r="C659" s="5" t="s">
        <v>191</v>
      </c>
      <c r="F659"/>
    </row>
    <row r="661" spans="1:8" x14ac:dyDescent="0.3">
      <c r="C661" s="6" t="s">
        <v>192</v>
      </c>
      <c r="F661"/>
    </row>
    <row r="663" spans="1:8" x14ac:dyDescent="0.3">
      <c r="A663" s="2">
        <v>1</v>
      </c>
      <c r="C663" s="1" t="s">
        <v>292</v>
      </c>
      <c r="E663" t="s">
        <v>218</v>
      </c>
      <c r="F663" s="3">
        <v>12</v>
      </c>
      <c r="G663" s="4">
        <v>15</v>
      </c>
      <c r="H663" s="4">
        <f>ROUND(F663*G663,2)</f>
        <v>180</v>
      </c>
    </row>
    <row r="665" spans="1:8" x14ac:dyDescent="0.3">
      <c r="C665" s="6" t="s">
        <v>193</v>
      </c>
      <c r="F665"/>
    </row>
    <row r="667" spans="1:8" x14ac:dyDescent="0.3">
      <c r="A667" s="2">
        <v>2</v>
      </c>
      <c r="C667" s="1" t="s">
        <v>194</v>
      </c>
      <c r="E667" t="s">
        <v>220</v>
      </c>
      <c r="F667" s="3">
        <v>4</v>
      </c>
      <c r="G667" s="4">
        <v>100</v>
      </c>
      <c r="H667" s="4">
        <f>ROUND(F667*G667,2)</f>
        <v>400</v>
      </c>
    </row>
    <row r="669" spans="1:8" x14ac:dyDescent="0.3">
      <c r="C669" s="6" t="s">
        <v>195</v>
      </c>
      <c r="F669"/>
    </row>
    <row r="671" spans="1:8" ht="28.8" x14ac:dyDescent="0.3">
      <c r="A671" s="2">
        <v>3</v>
      </c>
      <c r="C671" s="1" t="s">
        <v>196</v>
      </c>
      <c r="E671" t="s">
        <v>218</v>
      </c>
      <c r="F671" s="3">
        <v>12</v>
      </c>
      <c r="G671" s="4">
        <v>40</v>
      </c>
      <c r="H671" s="4">
        <f>ROUND(F671*G671,2)</f>
        <v>480</v>
      </c>
    </row>
    <row r="673" spans="1:9" ht="43.2" x14ac:dyDescent="0.3">
      <c r="C673" s="6" t="s">
        <v>197</v>
      </c>
      <c r="F673"/>
    </row>
    <row r="675" spans="1:9" x14ac:dyDescent="0.3">
      <c r="A675" s="2">
        <v>4</v>
      </c>
      <c r="C675" s="1" t="s">
        <v>319</v>
      </c>
      <c r="E675" t="s">
        <v>220</v>
      </c>
      <c r="F675" s="3">
        <v>2</v>
      </c>
      <c r="G675" s="4">
        <v>750</v>
      </c>
      <c r="H675" s="4">
        <f>ROUND(F675*G675,2)</f>
        <v>1500</v>
      </c>
    </row>
    <row r="677" spans="1:9" x14ac:dyDescent="0.3">
      <c r="C677" s="6" t="s">
        <v>198</v>
      </c>
      <c r="F677"/>
    </row>
    <row r="679" spans="1:9" x14ac:dyDescent="0.3">
      <c r="A679" s="2">
        <v>6</v>
      </c>
      <c r="C679" s="1" t="s">
        <v>199</v>
      </c>
      <c r="E679" t="s">
        <v>220</v>
      </c>
      <c r="F679" s="3">
        <v>1</v>
      </c>
      <c r="G679" s="4">
        <v>700</v>
      </c>
      <c r="H679" s="4">
        <f>ROUND(F679*G679,2)</f>
        <v>700</v>
      </c>
    </row>
    <row r="681" spans="1:9" x14ac:dyDescent="0.3">
      <c r="C681" s="6" t="s">
        <v>200</v>
      </c>
      <c r="F681"/>
    </row>
    <row r="683" spans="1:9" x14ac:dyDescent="0.3">
      <c r="A683" s="2">
        <v>7</v>
      </c>
      <c r="C683" s="1" t="s">
        <v>320</v>
      </c>
      <c r="E683" t="s">
        <v>218</v>
      </c>
      <c r="F683" s="3">
        <v>12</v>
      </c>
      <c r="G683" s="4">
        <f>530</f>
        <v>530</v>
      </c>
      <c r="H683" s="4">
        <f>ROUND(F683*G683,2)</f>
        <v>6360</v>
      </c>
    </row>
    <row r="684" spans="1:9" x14ac:dyDescent="0.3">
      <c r="A684" s="11"/>
      <c r="B684" s="12"/>
      <c r="C684" s="13" t="s">
        <v>244</v>
      </c>
      <c r="D684" s="12"/>
      <c r="E684" s="12"/>
      <c r="F684" s="14"/>
      <c r="G684" s="15"/>
      <c r="H684" s="16">
        <f>SUM(H662:H683)</f>
        <v>9620</v>
      </c>
      <c r="I684" s="44"/>
    </row>
    <row r="686" spans="1:9" x14ac:dyDescent="0.3">
      <c r="C686" s="5" t="s">
        <v>24</v>
      </c>
      <c r="F686"/>
    </row>
    <row r="688" spans="1:9" x14ac:dyDescent="0.3">
      <c r="C688" s="5" t="s">
        <v>201</v>
      </c>
      <c r="F688"/>
    </row>
    <row r="690" spans="1:8" x14ac:dyDescent="0.3">
      <c r="C690" s="1" t="s">
        <v>202</v>
      </c>
      <c r="F690"/>
    </row>
    <row r="692" spans="1:8" x14ac:dyDescent="0.3">
      <c r="C692" s="6" t="s">
        <v>203</v>
      </c>
      <c r="F692"/>
    </row>
    <row r="694" spans="1:8" x14ac:dyDescent="0.3">
      <c r="A694" s="2">
        <v>1</v>
      </c>
      <c r="C694" s="1" t="s">
        <v>229</v>
      </c>
      <c r="E694" t="s">
        <v>220</v>
      </c>
      <c r="F694" s="3">
        <f>38/63*46</f>
        <v>27.746031746031743</v>
      </c>
      <c r="G694" s="4">
        <v>100</v>
      </c>
      <c r="H694" s="4">
        <f>ROUND(F694*G694,2)</f>
        <v>2774.6</v>
      </c>
    </row>
    <row r="696" spans="1:8" x14ac:dyDescent="0.3">
      <c r="A696" s="2">
        <v>2</v>
      </c>
      <c r="C696" s="1" t="s">
        <v>204</v>
      </c>
      <c r="E696" t="s">
        <v>220</v>
      </c>
      <c r="F696" s="3">
        <f>17/63*46</f>
        <v>12.412698412698411</v>
      </c>
      <c r="G696" s="4">
        <v>110</v>
      </c>
      <c r="H696" s="4">
        <f>ROUND(F696*G696,2)</f>
        <v>1365.4</v>
      </c>
    </row>
    <row r="698" spans="1:8" x14ac:dyDescent="0.3">
      <c r="A698" s="2">
        <v>3</v>
      </c>
      <c r="C698" s="1" t="s">
        <v>205</v>
      </c>
      <c r="E698" t="s">
        <v>220</v>
      </c>
      <c r="F698" s="3">
        <f>9/63*46</f>
        <v>6.5714285714285712</v>
      </c>
      <c r="G698" s="4">
        <v>100</v>
      </c>
      <c r="H698" s="4">
        <f>ROUND(F698*G698,2)</f>
        <v>657.14</v>
      </c>
    </row>
    <row r="700" spans="1:8" x14ac:dyDescent="0.3">
      <c r="C700" s="6" t="s">
        <v>206</v>
      </c>
      <c r="F700"/>
    </row>
    <row r="702" spans="1:8" x14ac:dyDescent="0.3">
      <c r="A702" s="2">
        <v>4</v>
      </c>
      <c r="C702" s="1" t="s">
        <v>207</v>
      </c>
      <c r="E702" t="s">
        <v>14</v>
      </c>
      <c r="F702" s="3">
        <v>46</v>
      </c>
      <c r="G702" s="4">
        <v>192.62</v>
      </c>
      <c r="H702" s="4">
        <f>ROUND(F702*G702,2)</f>
        <v>8860.52</v>
      </c>
    </row>
    <row r="704" spans="1:8" x14ac:dyDescent="0.3">
      <c r="C704" s="6" t="s">
        <v>208</v>
      </c>
      <c r="F704"/>
    </row>
    <row r="706" spans="1:8" x14ac:dyDescent="0.3">
      <c r="A706" s="2">
        <v>5</v>
      </c>
      <c r="C706" s="1" t="s">
        <v>209</v>
      </c>
      <c r="E706" t="s">
        <v>11</v>
      </c>
      <c r="F706" s="3">
        <v>3</v>
      </c>
      <c r="G706" s="4">
        <v>139.08000000000001</v>
      </c>
      <c r="H706" s="4">
        <f>ROUND(F706*G706,2)</f>
        <v>417.24</v>
      </c>
    </row>
    <row r="708" spans="1:8" x14ac:dyDescent="0.3">
      <c r="A708" s="2">
        <v>6</v>
      </c>
      <c r="C708" s="1" t="s">
        <v>210</v>
      </c>
      <c r="E708" t="s">
        <v>11</v>
      </c>
      <c r="F708" s="3">
        <v>1</v>
      </c>
      <c r="G708" s="4">
        <v>188.54</v>
      </c>
      <c r="H708" s="4">
        <f>ROUND(F708*G708,2)</f>
        <v>188.54</v>
      </c>
    </row>
    <row r="710" spans="1:8" x14ac:dyDescent="0.3">
      <c r="C710" s="6" t="s">
        <v>264</v>
      </c>
      <c r="F710"/>
    </row>
    <row r="712" spans="1:8" x14ac:dyDescent="0.3">
      <c r="A712" s="2">
        <v>7</v>
      </c>
      <c r="C712" s="1" t="s">
        <v>321</v>
      </c>
      <c r="E712" t="s">
        <v>14</v>
      </c>
      <c r="F712" s="3">
        <v>17</v>
      </c>
      <c r="G712" s="4">
        <v>750</v>
      </c>
      <c r="H712" s="4">
        <f>ROUND(F712*G712,2)</f>
        <v>12750</v>
      </c>
    </row>
    <row r="714" spans="1:8" x14ac:dyDescent="0.3">
      <c r="C714" s="5" t="s">
        <v>211</v>
      </c>
      <c r="F714"/>
    </row>
    <row r="716" spans="1:8" x14ac:dyDescent="0.3">
      <c r="C716" s="6" t="s">
        <v>212</v>
      </c>
      <c r="F716"/>
    </row>
    <row r="718" spans="1:8" x14ac:dyDescent="0.3">
      <c r="A718" s="2">
        <v>8</v>
      </c>
      <c r="C718" s="1" t="s">
        <v>322</v>
      </c>
      <c r="E718" t="s">
        <v>6</v>
      </c>
      <c r="F718" s="3">
        <v>1</v>
      </c>
      <c r="G718" s="4">
        <v>2500</v>
      </c>
      <c r="H718" s="4">
        <f>ROUND(F718*G718,2)</f>
        <v>2500</v>
      </c>
    </row>
    <row r="720" spans="1:8" x14ac:dyDescent="0.3">
      <c r="C720" s="6" t="s">
        <v>213</v>
      </c>
      <c r="F720"/>
    </row>
    <row r="722" spans="1:9" x14ac:dyDescent="0.3">
      <c r="A722" s="2">
        <v>9</v>
      </c>
      <c r="C722" s="1" t="s">
        <v>214</v>
      </c>
      <c r="E722" t="s">
        <v>6</v>
      </c>
      <c r="F722" s="3">
        <v>1</v>
      </c>
      <c r="G722" s="4">
        <v>3500</v>
      </c>
      <c r="H722" s="4">
        <f>ROUND(F722*G722,2)</f>
        <v>3500</v>
      </c>
    </row>
    <row r="723" spans="1:9" x14ac:dyDescent="0.3">
      <c r="A723" s="11"/>
      <c r="B723" s="12"/>
      <c r="C723" s="13" t="s">
        <v>245</v>
      </c>
      <c r="D723" s="12"/>
      <c r="E723" s="12"/>
      <c r="F723" s="14"/>
      <c r="G723" s="15"/>
      <c r="H723" s="16">
        <f>SUM(H693:H722)</f>
        <v>33013.440000000002</v>
      </c>
      <c r="I723" s="44"/>
    </row>
    <row r="725" spans="1:9" x14ac:dyDescent="0.3">
      <c r="A725" s="2">
        <v>1</v>
      </c>
      <c r="C725" s="1" t="s">
        <v>215</v>
      </c>
      <c r="F725"/>
      <c r="H725" s="4">
        <f>H684</f>
        <v>9620</v>
      </c>
    </row>
    <row r="726" spans="1:9" x14ac:dyDescent="0.3">
      <c r="F726"/>
    </row>
    <row r="727" spans="1:9" x14ac:dyDescent="0.3">
      <c r="A727" s="2">
        <v>2</v>
      </c>
      <c r="C727" s="1" t="s">
        <v>201</v>
      </c>
      <c r="F727"/>
      <c r="H727" s="4">
        <f>H723</f>
        <v>33013.440000000002</v>
      </c>
    </row>
    <row r="728" spans="1:9" x14ac:dyDescent="0.3">
      <c r="A728" s="11"/>
      <c r="B728" s="12"/>
      <c r="C728" s="13" t="s">
        <v>246</v>
      </c>
      <c r="D728" s="12"/>
      <c r="E728" s="12"/>
      <c r="F728" s="14"/>
      <c r="G728" s="15"/>
      <c r="H728" s="16">
        <f>SUM(H724:H727)</f>
        <v>42633.440000000002</v>
      </c>
      <c r="I728" s="44"/>
    </row>
    <row r="729" spans="1:9" x14ac:dyDescent="0.3">
      <c r="F729"/>
    </row>
    <row r="730" spans="1:9" x14ac:dyDescent="0.3">
      <c r="A730" s="2">
        <v>1</v>
      </c>
      <c r="C730" s="1" t="s">
        <v>216</v>
      </c>
      <c r="F730"/>
      <c r="H730" s="4">
        <f>H27</f>
        <v>604500</v>
      </c>
    </row>
    <row r="731" spans="1:9" x14ac:dyDescent="0.3">
      <c r="F731"/>
    </row>
    <row r="732" spans="1:9" x14ac:dyDescent="0.3">
      <c r="A732" s="2">
        <v>2</v>
      </c>
      <c r="C732" s="1" t="s">
        <v>217</v>
      </c>
      <c r="F732"/>
      <c r="H732" s="4">
        <f>H651</f>
        <v>3396443.8</v>
      </c>
    </row>
    <row r="733" spans="1:9" x14ac:dyDescent="0.3">
      <c r="F733"/>
    </row>
    <row r="734" spans="1:9" x14ac:dyDescent="0.3">
      <c r="A734" s="2">
        <v>3</v>
      </c>
      <c r="C734" s="1" t="s">
        <v>325</v>
      </c>
      <c r="F734"/>
      <c r="H734" s="4">
        <f>H728</f>
        <v>42633.440000000002</v>
      </c>
    </row>
    <row r="735" spans="1:9" x14ac:dyDescent="0.3">
      <c r="A735" s="11"/>
      <c r="B735" s="12"/>
      <c r="C735" s="13" t="s">
        <v>247</v>
      </c>
      <c r="D735" s="12"/>
      <c r="E735" s="12"/>
      <c r="F735" s="14"/>
      <c r="G735" s="15"/>
      <c r="H735" s="16">
        <f>SUM(H729:H734)</f>
        <v>4043577.2399999998</v>
      </c>
      <c r="I735" s="44"/>
    </row>
    <row r="736" spans="1:9" x14ac:dyDescent="0.3">
      <c r="C736" s="1" t="s">
        <v>323</v>
      </c>
      <c r="H736" s="4">
        <f>H735*7.5%</f>
        <v>303268.29299999995</v>
      </c>
    </row>
    <row r="737" spans="1:9" x14ac:dyDescent="0.3">
      <c r="A737" s="11"/>
      <c r="B737" s="12"/>
      <c r="C737" s="13" t="s">
        <v>324</v>
      </c>
      <c r="D737" s="12"/>
      <c r="E737" s="12"/>
      <c r="F737" s="14"/>
      <c r="G737" s="15"/>
      <c r="H737" s="16">
        <f>SUM(H735:H736)</f>
        <v>4346845.5329999998</v>
      </c>
      <c r="I737" s="44"/>
    </row>
    <row r="738" spans="1:9" x14ac:dyDescent="0.3">
      <c r="C738" s="1" t="s">
        <v>257</v>
      </c>
      <c r="H738" s="4">
        <f>H737*15%</f>
        <v>652026.82994999993</v>
      </c>
    </row>
    <row r="739" spans="1:9" x14ac:dyDescent="0.3">
      <c r="A739" s="11"/>
      <c r="B739" s="12"/>
      <c r="C739" s="13" t="s">
        <v>256</v>
      </c>
      <c r="D739" s="12"/>
      <c r="E739" s="12"/>
      <c r="F739" s="14"/>
      <c r="G739" s="15"/>
      <c r="H739" s="16">
        <f>SUM(H737:H738)</f>
        <v>4998872.36295</v>
      </c>
      <c r="I739" s="44"/>
    </row>
  </sheetData>
  <pageMargins left="0.7" right="0.7" top="0.75" bottom="0.75" header="0.3" footer="0.3"/>
  <pageSetup scale="69" orientation="portrait" horizontalDpi="300" verticalDpi="300" r:id="rId1"/>
  <rowBreaks count="2" manualBreakCount="2">
    <brk id="163" max="7" man="1"/>
    <brk id="22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ME-408</vt:lpstr>
      <vt:lpstr>'ME-408'!Print_Area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Coetzee</dc:creator>
  <cp:lastModifiedBy>Stefan Coetzee</cp:lastModifiedBy>
  <cp:lastPrinted>2026-01-27T07:19:15Z</cp:lastPrinted>
  <dcterms:created xsi:type="dcterms:W3CDTF">2026-01-19T06:31:30Z</dcterms:created>
  <dcterms:modified xsi:type="dcterms:W3CDTF">2026-02-11T12:22:40Z</dcterms:modified>
</cp:coreProperties>
</file>